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RED\Desktop\excel worksheets\"/>
    </mc:Choice>
  </mc:AlternateContent>
  <bookViews>
    <workbookView xWindow="0" yWindow="0" windowWidth="19180" windowHeight="7050" activeTab="2"/>
  </bookViews>
  <sheets>
    <sheet name="Transactions" sheetId="1" r:id="rId1"/>
    <sheet name="Cleaned_Transactions" sheetId="4" r:id="rId2"/>
    <sheet name="Pivot_Summary" sheetId="6" r:id="rId3"/>
    <sheet name="Branches" sheetId="2" r:id="rId4"/>
    <sheet name="Staff" sheetId="3" r:id="rId5"/>
  </sheets>
  <calcPr calcId="162913"/>
  <pivotCaches>
    <pivotCache cacheId="12" r:id="rId6"/>
  </pivotCaches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2" i="4"/>
  <c r="E21" i="6" l="1"/>
  <c r="E19" i="6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2" i="4"/>
  <c r="Q6" i="4" l="1"/>
  <c r="Q8" i="4"/>
  <c r="Q9" i="4"/>
</calcChain>
</file>

<file path=xl/sharedStrings.xml><?xml version="1.0" encoding="utf-8"?>
<sst xmlns="http://schemas.openxmlformats.org/spreadsheetml/2006/main" count="8982" uniqueCount="914">
  <si>
    <t>transaction_id</t>
  </si>
  <si>
    <t>branch_code</t>
  </si>
  <si>
    <t>date_of_sale</t>
  </si>
  <si>
    <t>staff_id</t>
  </si>
  <si>
    <t>product_category</t>
  </si>
  <si>
    <t>product_name</t>
  </si>
  <si>
    <t>quantity</t>
  </si>
  <si>
    <t>unit_price</t>
  </si>
  <si>
    <t>discount_applied</t>
  </si>
  <si>
    <t xml:space="preserve">payment_type </t>
  </si>
  <si>
    <t>customer_type</t>
  </si>
  <si>
    <t>total_sale</t>
  </si>
  <si>
    <t>returned</t>
  </si>
  <si>
    <t xml:space="preserve">BR02 </t>
  </si>
  <si>
    <t>24/1/2024</t>
  </si>
  <si>
    <t>S006</t>
  </si>
  <si>
    <t>Electronics</t>
  </si>
  <si>
    <t>Bluetooth Speaker</t>
  </si>
  <si>
    <t>N/A</t>
  </si>
  <si>
    <t>0%</t>
  </si>
  <si>
    <t>Card</t>
  </si>
  <si>
    <t>RETURNING</t>
  </si>
  <si>
    <t>no</t>
  </si>
  <si>
    <t xml:space="preserve">BR01 </t>
  </si>
  <si>
    <t>18-Jan-24</t>
  </si>
  <si>
    <t>S002</t>
  </si>
  <si>
    <t>Home &amp; Kitchen</t>
  </si>
  <si>
    <t>Storage Containers</t>
  </si>
  <si>
    <t>10605.57</t>
  </si>
  <si>
    <t>None</t>
  </si>
  <si>
    <t>card</t>
  </si>
  <si>
    <t>Y</t>
  </si>
  <si>
    <t>BR02</t>
  </si>
  <si>
    <t>9/15/2024</t>
  </si>
  <si>
    <t>S005</t>
  </si>
  <si>
    <t>Groceries</t>
  </si>
  <si>
    <t>Spaghetti Pack</t>
  </si>
  <si>
    <t>₦8,416.54</t>
  </si>
  <si>
    <t>New</t>
  </si>
  <si>
    <t>Yes</t>
  </si>
  <si>
    <t xml:space="preserve"> BR02</t>
  </si>
  <si>
    <t>5/8/2024</t>
  </si>
  <si>
    <t>HDMI Cable</t>
  </si>
  <si>
    <t>15%</t>
  </si>
  <si>
    <t>new</t>
  </si>
  <si>
    <t>22-May-24</t>
  </si>
  <si>
    <t>Blender</t>
  </si>
  <si>
    <t>Cash</t>
  </si>
  <si>
    <t>returning</t>
  </si>
  <si>
    <t>BRXX</t>
  </si>
  <si>
    <t>26/8/2024</t>
  </si>
  <si>
    <t>S003</t>
  </si>
  <si>
    <t>Cutlery Set</t>
  </si>
  <si>
    <t>33,815.79</t>
  </si>
  <si>
    <t>5%</t>
  </si>
  <si>
    <t xml:space="preserve"> BR04</t>
  </si>
  <si>
    <t>16/8/2024</t>
  </si>
  <si>
    <t>S007</t>
  </si>
  <si>
    <t>Cooking Oil (1L)</t>
  </si>
  <si>
    <t>23072.48</t>
  </si>
  <si>
    <t>Transfer</t>
  </si>
  <si>
    <t>NEW</t>
  </si>
  <si>
    <t>br01</t>
  </si>
  <si>
    <t>May 3, 2024</t>
  </si>
  <si>
    <t>Personal Care</t>
  </si>
  <si>
    <t>Toothpaste</t>
  </si>
  <si>
    <t>32,386.21</t>
  </si>
  <si>
    <t>N</t>
  </si>
  <si>
    <t xml:space="preserve"> BR05</t>
  </si>
  <si>
    <t>2024-03-06</t>
  </si>
  <si>
    <t>1,321.59</t>
  </si>
  <si>
    <t>10%</t>
  </si>
  <si>
    <t xml:space="preserve"> Returning</t>
  </si>
  <si>
    <t>yes</t>
  </si>
  <si>
    <t>BR05</t>
  </si>
  <si>
    <t>4/6/2024</t>
  </si>
  <si>
    <t>S001</t>
  </si>
  <si>
    <t>Deodorant</t>
  </si>
  <si>
    <t>transfer</t>
  </si>
  <si>
    <t>No</t>
  </si>
  <si>
    <t>br03</t>
  </si>
  <si>
    <t>15-Apr-24</t>
  </si>
  <si>
    <t>Phone Charger</t>
  </si>
  <si>
    <t>26,958.25</t>
  </si>
  <si>
    <t>Returning</t>
  </si>
  <si>
    <t>May 8, 2024</t>
  </si>
  <si>
    <t>S004</t>
  </si>
  <si>
    <t>CASH</t>
  </si>
  <si>
    <t>BR01</t>
  </si>
  <si>
    <t>September 19, 2024</t>
  </si>
  <si>
    <t>S099</t>
  </si>
  <si>
    <t>6-Apr-24</t>
  </si>
  <si>
    <t>17169.84</t>
  </si>
  <si>
    <t xml:space="preserve">BR05 </t>
  </si>
  <si>
    <t>2024-09-14</t>
  </si>
  <si>
    <t>25154.23</t>
  </si>
  <si>
    <t xml:space="preserve"> BR03</t>
  </si>
  <si>
    <t>22-Mar-24</t>
  </si>
  <si>
    <t>S100</t>
  </si>
  <si>
    <t>Tomato Paste</t>
  </si>
  <si>
    <t xml:space="preserve">BR04 </t>
  </si>
  <si>
    <t>2024-06-20</t>
  </si>
  <si>
    <t>BR03</t>
  </si>
  <si>
    <t>March 31, 2024</t>
  </si>
  <si>
    <t>23400.68</t>
  </si>
  <si>
    <t>26/9/2024</t>
  </si>
  <si>
    <t>₦5,589.59</t>
  </si>
  <si>
    <t>2024-07-31</t>
  </si>
  <si>
    <t>S008</t>
  </si>
  <si>
    <t>Power Bank</t>
  </si>
  <si>
    <t xml:space="preserve"> Card</t>
  </si>
  <si>
    <t>September 18, 2024</t>
  </si>
  <si>
    <t>Kettle</t>
  </si>
  <si>
    <t>37,413.70</t>
  </si>
  <si>
    <t>cash</t>
  </si>
  <si>
    <t>January 29, 2024</t>
  </si>
  <si>
    <t>Soap Bar</t>
  </si>
  <si>
    <t xml:space="preserve">BR03 </t>
  </si>
  <si>
    <t>3/29/2024</t>
  </si>
  <si>
    <t>42,907.41</t>
  </si>
  <si>
    <t>br02</t>
  </si>
  <si>
    <t>22/7/2024</t>
  </si>
  <si>
    <t>18/4/2024</t>
  </si>
  <si>
    <t>February 21, 2024</t>
  </si>
  <si>
    <t>September 22, 2024</t>
  </si>
  <si>
    <t>8/24/2024</t>
  </si>
  <si>
    <t xml:space="preserve"> BR01</t>
  </si>
  <si>
    <t>February 1, 2024</t>
  </si>
  <si>
    <t>30,043.06</t>
  </si>
  <si>
    <t>BR04</t>
  </si>
  <si>
    <t>2024-01-22</t>
  </si>
  <si>
    <t>₦27,994.84</t>
  </si>
  <si>
    <t>April 19, 2024</t>
  </si>
  <si>
    <t>Shampoo</t>
  </si>
  <si>
    <t>22,968.48</t>
  </si>
  <si>
    <t>2024-01-27</t>
  </si>
  <si>
    <t>Sugar (1kg)</t>
  </si>
  <si>
    <t>4354.34</t>
  </si>
  <si>
    <t>7/8/2024</t>
  </si>
  <si>
    <t>22080.84</t>
  </si>
  <si>
    <t>7/6/2024</t>
  </si>
  <si>
    <t>Body Lotion</t>
  </si>
  <si>
    <t>₦25,569.20</t>
  </si>
  <si>
    <t>2024-03-01</t>
  </si>
  <si>
    <t>₦36,302.69</t>
  </si>
  <si>
    <t>2024-03-08</t>
  </si>
  <si>
    <t>12,020.08</t>
  </si>
  <si>
    <t>2024-02-20</t>
  </si>
  <si>
    <t>30457.19</t>
  </si>
  <si>
    <t>BR09</t>
  </si>
  <si>
    <t>3-Feb-24</t>
  </si>
  <si>
    <t>br04</t>
  </si>
  <si>
    <t>February 12, 2024</t>
  </si>
  <si>
    <t>CARD</t>
  </si>
  <si>
    <t>September 26, 2024</t>
  </si>
  <si>
    <t>Rice (5kg)</t>
  </si>
  <si>
    <t>1,625.54</t>
  </si>
  <si>
    <t>9/14/2024</t>
  </si>
  <si>
    <t>₦4,070.17</t>
  </si>
  <si>
    <t>2024-03-23</t>
  </si>
  <si>
    <t>2024-06-07</t>
  </si>
  <si>
    <t>₦38,312.98</t>
  </si>
  <si>
    <t>May 1, 2024</t>
  </si>
  <si>
    <t>₦39,321.03</t>
  </si>
  <si>
    <t>20-May-24</t>
  </si>
  <si>
    <t>August 11, 2024</t>
  </si>
  <si>
    <t>23/6/2024</t>
  </si>
  <si>
    <t>Non-stick Pan</t>
  </si>
  <si>
    <t>25551.69</t>
  </si>
  <si>
    <t>22/4/2024</t>
  </si>
  <si>
    <t>Wireless Earbuds</t>
  </si>
  <si>
    <t>12033.26</t>
  </si>
  <si>
    <t>January 4, 2024</t>
  </si>
  <si>
    <t>₦26,033.94</t>
  </si>
  <si>
    <t>2024-04-13</t>
  </si>
  <si>
    <t>23/4/2024</t>
  </si>
  <si>
    <t>September 11, 2024</t>
  </si>
  <si>
    <t>38,686.51</t>
  </si>
  <si>
    <t>2024-08-19</t>
  </si>
  <si>
    <t>2024-03-14</t>
  </si>
  <si>
    <t>₦20,943.64</t>
  </si>
  <si>
    <t>June 14, 2024</t>
  </si>
  <si>
    <t>8059.7</t>
  </si>
  <si>
    <t>7-May-24</t>
  </si>
  <si>
    <t>24977.31</t>
  </si>
  <si>
    <t>June 1, 2024</t>
  </si>
  <si>
    <t>₦7,972.12</t>
  </si>
  <si>
    <t>13-Sep-24</t>
  </si>
  <si>
    <t>44802.54</t>
  </si>
  <si>
    <t>3/2/2024</t>
  </si>
  <si>
    <t>₦22,602.03</t>
  </si>
  <si>
    <t>16/5/2024</t>
  </si>
  <si>
    <t>17413.92</t>
  </si>
  <si>
    <t>2024-05-17</t>
  </si>
  <si>
    <t>₦28,103.69</t>
  </si>
  <si>
    <t>August 23, 2024</t>
  </si>
  <si>
    <t>20,149.29</t>
  </si>
  <si>
    <t>August 17, 2024</t>
  </si>
  <si>
    <t>5/18/2024</t>
  </si>
  <si>
    <t>15,467.23</t>
  </si>
  <si>
    <t>2024-09-07</t>
  </si>
  <si>
    <t>₦24,278.80</t>
  </si>
  <si>
    <t>7/10/2024</t>
  </si>
  <si>
    <t>42864.9</t>
  </si>
  <si>
    <t>8/28/2024</t>
  </si>
  <si>
    <t>30975.87</t>
  </si>
  <si>
    <t>August 13, 2024</t>
  </si>
  <si>
    <t>5/28/2024</t>
  </si>
  <si>
    <t>18262.87</t>
  </si>
  <si>
    <t>June 3, 2024</t>
  </si>
  <si>
    <t>br05</t>
  </si>
  <si>
    <t>1/30/2024</t>
  </si>
  <si>
    <t>2024-05-27</t>
  </si>
  <si>
    <t>32283.11</t>
  </si>
  <si>
    <t>24-Apr-24</t>
  </si>
  <si>
    <t>10770.99</t>
  </si>
  <si>
    <t>5/19/2024</t>
  </si>
  <si>
    <t>13,720.04</t>
  </si>
  <si>
    <t>August 9, 2024</t>
  </si>
  <si>
    <t>35,604.67</t>
  </si>
  <si>
    <t>2024-02-17</t>
  </si>
  <si>
    <t>28/4/2024</t>
  </si>
  <si>
    <t>2024-03-15</t>
  </si>
  <si>
    <t>38618.67</t>
  </si>
  <si>
    <t>14-Jan-24</t>
  </si>
  <si>
    <t>21/4/2024</t>
  </si>
  <si>
    <t>₦28,396.83</t>
  </si>
  <si>
    <t>1,342.23</t>
  </si>
  <si>
    <t>23-Jun-24</t>
  </si>
  <si>
    <t>26,565.69</t>
  </si>
  <si>
    <t>6-Jul-24</t>
  </si>
  <si>
    <t>2892.21</t>
  </si>
  <si>
    <t>3/9/2024</t>
  </si>
  <si>
    <t>23-Jan-24</t>
  </si>
  <si>
    <t>₦20,517.81</t>
  </si>
  <si>
    <t>29-Feb-24</t>
  </si>
  <si>
    <t>2024-06-02</t>
  </si>
  <si>
    <t>₦42,248.05</t>
  </si>
  <si>
    <t>2/21/2024</t>
  </si>
  <si>
    <t>26,419.26</t>
  </si>
  <si>
    <t>August 16, 2024</t>
  </si>
  <si>
    <t>3763.73</t>
  </si>
  <si>
    <t>19-Jul-24</t>
  </si>
  <si>
    <t>16,169.56</t>
  </si>
  <si>
    <t>29/4/2024</t>
  </si>
  <si>
    <t>4/21/2024</t>
  </si>
  <si>
    <t>₦18,697.12</t>
  </si>
  <si>
    <t>3/8/2024</t>
  </si>
  <si>
    <t>₦26,200.63</t>
  </si>
  <si>
    <t>14-Mar-24</t>
  </si>
  <si>
    <t>9/2/2024</t>
  </si>
  <si>
    <t>40070.51</t>
  </si>
  <si>
    <t>3/7/2024</t>
  </si>
  <si>
    <t>₦40,231.34</t>
  </si>
  <si>
    <t>2024-03-18</t>
  </si>
  <si>
    <t>₦41,475.60</t>
  </si>
  <si>
    <t>₦21,010.33</t>
  </si>
  <si>
    <t>3/20/2024</t>
  </si>
  <si>
    <t>7,226.21</t>
  </si>
  <si>
    <t>9/9/2024</t>
  </si>
  <si>
    <t>33,906.83</t>
  </si>
  <si>
    <t>2024-05-12</t>
  </si>
  <si>
    <t>₦14,463.62</t>
  </si>
  <si>
    <t>4/18/2024</t>
  </si>
  <si>
    <t>30,930.46</t>
  </si>
  <si>
    <t>30/3/2024</t>
  </si>
  <si>
    <t>4,611.10</t>
  </si>
  <si>
    <t>January 3, 2024</t>
  </si>
  <si>
    <t>June 25, 2024</t>
  </si>
  <si>
    <t>₦41,030.14</t>
  </si>
  <si>
    <t>2024-02-14</t>
  </si>
  <si>
    <t>8/1/2024</t>
  </si>
  <si>
    <t>₦7,621.58</t>
  </si>
  <si>
    <t>7/15/2024</t>
  </si>
  <si>
    <t>29/6/2024</t>
  </si>
  <si>
    <t>1/28/2024</t>
  </si>
  <si>
    <t>24,975.85</t>
  </si>
  <si>
    <t>12-Feb-24</t>
  </si>
  <si>
    <t>43472.17</t>
  </si>
  <si>
    <t>February 14, 2024</t>
  </si>
  <si>
    <t>34,842.62</t>
  </si>
  <si>
    <t>January 12, 2024</t>
  </si>
  <si>
    <t>12-Mar-24</t>
  </si>
  <si>
    <t>₦32,142.16</t>
  </si>
  <si>
    <t>February 24, 2024</t>
  </si>
  <si>
    <t>2/19/2024</t>
  </si>
  <si>
    <t>14098.6</t>
  </si>
  <si>
    <t>1,866.03</t>
  </si>
  <si>
    <t>5/1/2024</t>
  </si>
  <si>
    <t>34,917.87</t>
  </si>
  <si>
    <t>2024-08-02</t>
  </si>
  <si>
    <t>22,016.98</t>
  </si>
  <si>
    <t>3-Jan-24</t>
  </si>
  <si>
    <t>₦40,951.69</t>
  </si>
  <si>
    <t>2024-04-27</t>
  </si>
  <si>
    <t>2024-01-15</t>
  </si>
  <si>
    <t>20157.38</t>
  </si>
  <si>
    <t>15/5/2024</t>
  </si>
  <si>
    <t>8603.29</t>
  </si>
  <si>
    <t>2/22/2024</t>
  </si>
  <si>
    <t>1,244.13</t>
  </si>
  <si>
    <t>2024-02-28</t>
  </si>
  <si>
    <t>15,979.18</t>
  </si>
  <si>
    <t>August 15, 2024</t>
  </si>
  <si>
    <t>2024-07-02</t>
  </si>
  <si>
    <t>1916.95</t>
  </si>
  <si>
    <t>BR12</t>
  </si>
  <si>
    <t>4-Jul-24</t>
  </si>
  <si>
    <t>₦41,669.66</t>
  </si>
  <si>
    <t>21/5/2024</t>
  </si>
  <si>
    <t>3/16/2024</t>
  </si>
  <si>
    <t>24,102.98</t>
  </si>
  <si>
    <t>July 4, 2024</t>
  </si>
  <si>
    <t>33,445.63</t>
  </si>
  <si>
    <t>February 23, 2024</t>
  </si>
  <si>
    <t>41,865.11</t>
  </si>
  <si>
    <t>6/6/2024</t>
  </si>
  <si>
    <t>42558.93</t>
  </si>
  <si>
    <t>7/28/2024</t>
  </si>
  <si>
    <t>4/29/2024</t>
  </si>
  <si>
    <t>41,611.58</t>
  </si>
  <si>
    <t>13-Aug-24</t>
  </si>
  <si>
    <t>July 5, 2024</t>
  </si>
  <si>
    <t>13851.08</t>
  </si>
  <si>
    <t>4/3/2024</t>
  </si>
  <si>
    <t>2024-09-24</t>
  </si>
  <si>
    <t>2/14/2024</t>
  </si>
  <si>
    <t>20078.98</t>
  </si>
  <si>
    <t>July 26, 2024</t>
  </si>
  <si>
    <t>24,897.58</t>
  </si>
  <si>
    <t>6,559.19</t>
  </si>
  <si>
    <t>7/23/2024</t>
  </si>
  <si>
    <t>₦13,670.57</t>
  </si>
  <si>
    <t>1/15/2024</t>
  </si>
  <si>
    <t>7/7/2024</t>
  </si>
  <si>
    <t>14,662.42</t>
  </si>
  <si>
    <t>8/29/2024</t>
  </si>
  <si>
    <t>25-Mar-24</t>
  </si>
  <si>
    <t>2024-01-03</t>
  </si>
  <si>
    <t>10661.44</t>
  </si>
  <si>
    <t>10/3/2024</t>
  </si>
  <si>
    <t>₦41,534.61</t>
  </si>
  <si>
    <t>1-Mar-24</t>
  </si>
  <si>
    <t>19,135.75</t>
  </si>
  <si>
    <t>March 23, 2024</t>
  </si>
  <si>
    <t>17/4/2024</t>
  </si>
  <si>
    <t>30,888.02</t>
  </si>
  <si>
    <t>8-Jan-24</t>
  </si>
  <si>
    <t>SXXX</t>
  </si>
  <si>
    <t>2024-04-03</t>
  </si>
  <si>
    <t>₦42,194.29</t>
  </si>
  <si>
    <t>27/6/2024</t>
  </si>
  <si>
    <t>9,827.96</t>
  </si>
  <si>
    <t>8/3/2024</t>
  </si>
  <si>
    <t>15-Mar-24</t>
  </si>
  <si>
    <t>9/21/2024</t>
  </si>
  <si>
    <t>25/3/2024</t>
  </si>
  <si>
    <t>24,601.10</t>
  </si>
  <si>
    <t>14915.89</t>
  </si>
  <si>
    <t>23/1/2024</t>
  </si>
  <si>
    <t>16585.37</t>
  </si>
  <si>
    <t>6/9/2024</t>
  </si>
  <si>
    <t>37729.05</t>
  </si>
  <si>
    <t>April 2, 2024</t>
  </si>
  <si>
    <t>2,236.04</t>
  </si>
  <si>
    <t>9-Jan-24</t>
  </si>
  <si>
    <t>February 18, 2024</t>
  </si>
  <si>
    <t>28,990.89</t>
  </si>
  <si>
    <t>April 23, 2024</t>
  </si>
  <si>
    <t>43485.1</t>
  </si>
  <si>
    <t>9,301.61</t>
  </si>
  <si>
    <t>43993.63</t>
  </si>
  <si>
    <t>6/2/2024</t>
  </si>
  <si>
    <t>41654.36</t>
  </si>
  <si>
    <t>April 6, 2024</t>
  </si>
  <si>
    <t>23686.26</t>
  </si>
  <si>
    <t>May 10, 2024</t>
  </si>
  <si>
    <t>12055.19</t>
  </si>
  <si>
    <t>2024-03-17</t>
  </si>
  <si>
    <t>24-Jun-24</t>
  </si>
  <si>
    <t>July 12, 2024</t>
  </si>
  <si>
    <t>40,465.33</t>
  </si>
  <si>
    <t>7136.88</t>
  </si>
  <si>
    <t>2024-07-06</t>
  </si>
  <si>
    <t>2,008.42</t>
  </si>
  <si>
    <t>1/7/2024</t>
  </si>
  <si>
    <t>May 18, 2024</t>
  </si>
  <si>
    <t>21,028.16</t>
  </si>
  <si>
    <t>1-Jun-24</t>
  </si>
  <si>
    <t>7,715.66</t>
  </si>
  <si>
    <t>3/1/2024</t>
  </si>
  <si>
    <t>28/8/2024</t>
  </si>
  <si>
    <t>9/4/2024</t>
  </si>
  <si>
    <t>17,394.25</t>
  </si>
  <si>
    <t>1/16/2024</t>
  </si>
  <si>
    <t>₦7,745.37</t>
  </si>
  <si>
    <t>2024-08-10</t>
  </si>
  <si>
    <t>April 14, 2024</t>
  </si>
  <si>
    <t>24328.31</t>
  </si>
  <si>
    <t>6-Sep-24</t>
  </si>
  <si>
    <t>₦24,019.32</t>
  </si>
  <si>
    <t>4/8/2024</t>
  </si>
  <si>
    <t>January 30, 2024</t>
  </si>
  <si>
    <t>₦26,043.37</t>
  </si>
  <si>
    <t>2024-07-04</t>
  </si>
  <si>
    <t>3284.81</t>
  </si>
  <si>
    <t>10,139.11</t>
  </si>
  <si>
    <t>March 12, 2024</t>
  </si>
  <si>
    <t>14939.81</t>
  </si>
  <si>
    <t>2024-09-15</t>
  </si>
  <si>
    <t>₦13,036.03</t>
  </si>
  <si>
    <t>4/9/2024</t>
  </si>
  <si>
    <t>February 22, 2024</t>
  </si>
  <si>
    <t>7,661.13</t>
  </si>
  <si>
    <t>20/4/2024</t>
  </si>
  <si>
    <t>6-Feb-24</t>
  </si>
  <si>
    <t>7,818.03</t>
  </si>
  <si>
    <t>22/1/2024</t>
  </si>
  <si>
    <t>₦6,587.71</t>
  </si>
  <si>
    <t>2024-06-08</t>
  </si>
  <si>
    <t>36206.77</t>
  </si>
  <si>
    <t>8/27/2024</t>
  </si>
  <si>
    <t>1/9/2024</t>
  </si>
  <si>
    <t>28-Jun-24</t>
  </si>
  <si>
    <t>2/8/2024</t>
  </si>
  <si>
    <t>1/2/2024</t>
  </si>
  <si>
    <t>8/21/2024</t>
  </si>
  <si>
    <t>24,679.52</t>
  </si>
  <si>
    <t>2024-08-16</t>
  </si>
  <si>
    <t>September 23, 2024</t>
  </si>
  <si>
    <t>36,023.53</t>
  </si>
  <si>
    <t>May 29, 2024</t>
  </si>
  <si>
    <t>₦42,838.02</t>
  </si>
  <si>
    <t>18-Jun-24</t>
  </si>
  <si>
    <t>9/11/2024</t>
  </si>
  <si>
    <t>1779.78</t>
  </si>
  <si>
    <t>17/5/2024</t>
  </si>
  <si>
    <t>29,493.28</t>
  </si>
  <si>
    <t>18-Aug-24</t>
  </si>
  <si>
    <t>₦35,915.47</t>
  </si>
  <si>
    <t>June 19, 2024</t>
  </si>
  <si>
    <t>28-Feb-24</t>
  </si>
  <si>
    <t>32,811.91</t>
  </si>
  <si>
    <t>2024-01-02</t>
  </si>
  <si>
    <t>₦27,339.18</t>
  </si>
  <si>
    <t>23-Mar-24</t>
  </si>
  <si>
    <t>2024-02-27</t>
  </si>
  <si>
    <t>27696.7</t>
  </si>
  <si>
    <t>2024-05-23</t>
  </si>
  <si>
    <t>4/7/2024</t>
  </si>
  <si>
    <t>15261.77</t>
  </si>
  <si>
    <t>4-May-24</t>
  </si>
  <si>
    <t>23/5/2024</t>
  </si>
  <si>
    <t>31,167.72</t>
  </si>
  <si>
    <t>2024-03-02</t>
  </si>
  <si>
    <t>7,324.92</t>
  </si>
  <si>
    <t>27,173.22</t>
  </si>
  <si>
    <t>4/10/2024</t>
  </si>
  <si>
    <t>₦39,906.82</t>
  </si>
  <si>
    <t>1/11/2024</t>
  </si>
  <si>
    <t>₦11,454.78</t>
  </si>
  <si>
    <t>7-Jun-24</t>
  </si>
  <si>
    <t>18-May-24</t>
  </si>
  <si>
    <t>32,524.37</t>
  </si>
  <si>
    <t>July 19, 2024</t>
  </si>
  <si>
    <t>7/14/2024</t>
  </si>
  <si>
    <t>3,674.71</t>
  </si>
  <si>
    <t>3-May-24</t>
  </si>
  <si>
    <t>₦37,879.99</t>
  </si>
  <si>
    <t>2024-07-12</t>
  </si>
  <si>
    <t>1/5/2024</t>
  </si>
  <si>
    <t>12,789.58</t>
  </si>
  <si>
    <t>2024-03-26</t>
  </si>
  <si>
    <t>₦32,286.14</t>
  </si>
  <si>
    <t>6,814.00</t>
  </si>
  <si>
    <t>3/21/2024</t>
  </si>
  <si>
    <t>29688.7</t>
  </si>
  <si>
    <t>January 16, 2024</t>
  </si>
  <si>
    <t>11524.78</t>
  </si>
  <si>
    <t>11-Jun-24</t>
  </si>
  <si>
    <t>9821.76</t>
  </si>
  <si>
    <t>9-Jun-24</t>
  </si>
  <si>
    <t>24-Jul-24</t>
  </si>
  <si>
    <t>₦34,623.02</t>
  </si>
  <si>
    <t>6/8/2024</t>
  </si>
  <si>
    <t>4412.87</t>
  </si>
  <si>
    <t>2024-01-17</t>
  </si>
  <si>
    <t>₦6,989.44</t>
  </si>
  <si>
    <t>₦34,074.73</t>
  </si>
  <si>
    <t>June 23, 2024</t>
  </si>
  <si>
    <t>1,730.79</t>
  </si>
  <si>
    <t>4/13/2024</t>
  </si>
  <si>
    <t>2024-02-13</t>
  </si>
  <si>
    <t>36051.63</t>
  </si>
  <si>
    <t>June 8, 2024</t>
  </si>
  <si>
    <t>7709.58</t>
  </si>
  <si>
    <t>April 15, 2024</t>
  </si>
  <si>
    <t>₦34,398.70</t>
  </si>
  <si>
    <t>4/26/2024</t>
  </si>
  <si>
    <t>₦27,101.08</t>
  </si>
  <si>
    <t>2024-05-15</t>
  </si>
  <si>
    <t>12355.22</t>
  </si>
  <si>
    <t>17-Jul-24</t>
  </si>
  <si>
    <t>37492.33</t>
  </si>
  <si>
    <t>30/7/2024</t>
  </si>
  <si>
    <t>22276.38</t>
  </si>
  <si>
    <t>6/7/2024</t>
  </si>
  <si>
    <t>41004.61</t>
  </si>
  <si>
    <t>April 11, 2024</t>
  </si>
  <si>
    <t>37640.32</t>
  </si>
  <si>
    <t>September 8, 2024</t>
  </si>
  <si>
    <t>₦16,516.44</t>
  </si>
  <si>
    <t>2024-07-24</t>
  </si>
  <si>
    <t>37,632.79</t>
  </si>
  <si>
    <t>2/3/2024</t>
  </si>
  <si>
    <t>30,310.53</t>
  </si>
  <si>
    <t>27/4/2024</t>
  </si>
  <si>
    <t>₦23,074.80</t>
  </si>
  <si>
    <t>2024-09-04</t>
  </si>
  <si>
    <t>5,341.28</t>
  </si>
  <si>
    <t>7/1/2024</t>
  </si>
  <si>
    <t>₦5,006.94</t>
  </si>
  <si>
    <t>July 30, 2024</t>
  </si>
  <si>
    <t>4-Aug-24</t>
  </si>
  <si>
    <t>₦6,777.39</t>
  </si>
  <si>
    <t>₦37,079.36</t>
  </si>
  <si>
    <t>20/6/2024</t>
  </si>
  <si>
    <t>29229.14</t>
  </si>
  <si>
    <t>1,097.48</t>
  </si>
  <si>
    <t>2024-07-19</t>
  </si>
  <si>
    <t>43,411.91</t>
  </si>
  <si>
    <t>21/2/2024</t>
  </si>
  <si>
    <t>44150.41</t>
  </si>
  <si>
    <t>8-Apr-24</t>
  </si>
  <si>
    <t>₦4,934.22</t>
  </si>
  <si>
    <t>2024-05-22</t>
  </si>
  <si>
    <t>2088.02</t>
  </si>
  <si>
    <t>March 25, 2024</t>
  </si>
  <si>
    <t>₦22,361.64</t>
  </si>
  <si>
    <t>₦28,145.97</t>
  </si>
  <si>
    <t>2024-07-30</t>
  </si>
  <si>
    <t>11,200.06</t>
  </si>
  <si>
    <t>5-May-24</t>
  </si>
  <si>
    <t>16-Sep-24</t>
  </si>
  <si>
    <t>1,049.58</t>
  </si>
  <si>
    <t>₦29,016.15</t>
  </si>
  <si>
    <t>16-Jun-24</t>
  </si>
  <si>
    <t>5/3/2024</t>
  </si>
  <si>
    <t>21939.44</t>
  </si>
  <si>
    <t>23,820.92</t>
  </si>
  <si>
    <t>2024-01-25</t>
  </si>
  <si>
    <t>19,347.90</t>
  </si>
  <si>
    <t>13223.34</t>
  </si>
  <si>
    <t>March 28, 2024</t>
  </si>
  <si>
    <t>35,729.82</t>
  </si>
  <si>
    <t>2024-02-04</t>
  </si>
  <si>
    <t>17726.81</t>
  </si>
  <si>
    <t>7/9/2024</t>
  </si>
  <si>
    <t>32,575.23</t>
  </si>
  <si>
    <t>₦6,238.37</t>
  </si>
  <si>
    <t>13-May-24</t>
  </si>
  <si>
    <t>6165.35</t>
  </si>
  <si>
    <t>4,317.23</t>
  </si>
  <si>
    <t>3/19/2024</t>
  </si>
  <si>
    <t>₦9,866.45</t>
  </si>
  <si>
    <t>16-Jul-24</t>
  </si>
  <si>
    <t>34,893.89</t>
  </si>
  <si>
    <t>July 22, 2024</t>
  </si>
  <si>
    <t>6132.32</t>
  </si>
  <si>
    <t>2024-04-21</t>
  </si>
  <si>
    <t>1,504.05</t>
  </si>
  <si>
    <t>22/5/2024</t>
  </si>
  <si>
    <t>8/16/2024</t>
  </si>
  <si>
    <t>22141.04</t>
  </si>
  <si>
    <t>24-Aug-24</t>
  </si>
  <si>
    <t>41943.19</t>
  </si>
  <si>
    <t>26-Jul-24</t>
  </si>
  <si>
    <t>25,196.42</t>
  </si>
  <si>
    <t>13-Jul-24</t>
  </si>
  <si>
    <t>23,082.13</t>
  </si>
  <si>
    <t>May 5, 2024</t>
  </si>
  <si>
    <t>26837.9</t>
  </si>
  <si>
    <t>April 27, 2024</t>
  </si>
  <si>
    <t>41,083.17</t>
  </si>
  <si>
    <t>5/29/2024</t>
  </si>
  <si>
    <t>32,656.46</t>
  </si>
  <si>
    <t>₦1,890.55</t>
  </si>
  <si>
    <t>2024-01-11</t>
  </si>
  <si>
    <t>22-Jun-24</t>
  </si>
  <si>
    <t>6761.47</t>
  </si>
  <si>
    <t>44769.43</t>
  </si>
  <si>
    <t>1-Jul-24</t>
  </si>
  <si>
    <t>2707.84</t>
  </si>
  <si>
    <t>April 24, 2024</t>
  </si>
  <si>
    <t>₦43,555.74</t>
  </si>
  <si>
    <t>26-Jun-24</t>
  </si>
  <si>
    <t>May 4, 2024</t>
  </si>
  <si>
    <t>3189.98</t>
  </si>
  <si>
    <t>April 9, 2024</t>
  </si>
  <si>
    <t>16328.48</t>
  </si>
  <si>
    <t>January 10, 2024</t>
  </si>
  <si>
    <t>July 16, 2024</t>
  </si>
  <si>
    <t>28,236.38</t>
  </si>
  <si>
    <t>2024-05-03</t>
  </si>
  <si>
    <t>9,154.33</t>
  </si>
  <si>
    <t>₦19,412.54</t>
  </si>
  <si>
    <t>11,017.35</t>
  </si>
  <si>
    <t>₦2,465.41</t>
  </si>
  <si>
    <t>2024-01-18</t>
  </si>
  <si>
    <t>4/30/2024</t>
  </si>
  <si>
    <t>37,220.31</t>
  </si>
  <si>
    <t>23/7/2024</t>
  </si>
  <si>
    <t>July 25, 2024</t>
  </si>
  <si>
    <t>₦3,434.77</t>
  </si>
  <si>
    <t>44946.27</t>
  </si>
  <si>
    <t>3/12/2024</t>
  </si>
  <si>
    <t>February 27, 2024</t>
  </si>
  <si>
    <t>6657.01</t>
  </si>
  <si>
    <t>12-Sep-24</t>
  </si>
  <si>
    <t>34,944.03</t>
  </si>
  <si>
    <t>8/5/2024</t>
  </si>
  <si>
    <t>₦18,701.75</t>
  </si>
  <si>
    <t>₦27,004.01</t>
  </si>
  <si>
    <t>2-Apr-24</t>
  </si>
  <si>
    <t>February 26, 2024</t>
  </si>
  <si>
    <t>41,736.78</t>
  </si>
  <si>
    <t>23-Aug-24</t>
  </si>
  <si>
    <t>3,886.56</t>
  </si>
  <si>
    <t>2024-08-17</t>
  </si>
  <si>
    <t>44,014.85</t>
  </si>
  <si>
    <t>10/5/2024</t>
  </si>
  <si>
    <t>33,550.88</t>
  </si>
  <si>
    <t>9/6/2024</t>
  </si>
  <si>
    <t>₦27,027.66</t>
  </si>
  <si>
    <t>22/8/2024</t>
  </si>
  <si>
    <t>11,556.71</t>
  </si>
  <si>
    <t>5/15/2024</t>
  </si>
  <si>
    <t>2006.94</t>
  </si>
  <si>
    <t>26/2/2024</t>
  </si>
  <si>
    <t>5478.31</t>
  </si>
  <si>
    <t>July 15, 2024</t>
  </si>
  <si>
    <t>23,681.35</t>
  </si>
  <si>
    <t>26-Feb-24</t>
  </si>
  <si>
    <t>₦43,988.60</t>
  </si>
  <si>
    <t>44701.87</t>
  </si>
  <si>
    <t>₦43,691.16</t>
  </si>
  <si>
    <t>January 31, 2024</t>
  </si>
  <si>
    <t>₦2,508.22</t>
  </si>
  <si>
    <t>18,428.04</t>
  </si>
  <si>
    <t>6-May-24</t>
  </si>
  <si>
    <t>6327.05</t>
  </si>
  <si>
    <t>24/5/2024</t>
  </si>
  <si>
    <t>22-Aug-24</t>
  </si>
  <si>
    <t>3681.88</t>
  </si>
  <si>
    <t>2024-05-11</t>
  </si>
  <si>
    <t>38,311.40</t>
  </si>
  <si>
    <t>10-Jan-24</t>
  </si>
  <si>
    <t>18-Feb-24</t>
  </si>
  <si>
    <t>11,799.63</t>
  </si>
  <si>
    <t>14-Sep-24</t>
  </si>
  <si>
    <t>₦37,379.03</t>
  </si>
  <si>
    <t>2024-06-06</t>
  </si>
  <si>
    <t>₦20,394.02</t>
  </si>
  <si>
    <t>6/24/2024</t>
  </si>
  <si>
    <t>41,814.35</t>
  </si>
  <si>
    <t>January 13, 2024</t>
  </si>
  <si>
    <t>22807.98</t>
  </si>
  <si>
    <t>25/8/2024</t>
  </si>
  <si>
    <t>2484.45</t>
  </si>
  <si>
    <t>2024-02-02</t>
  </si>
  <si>
    <t>₦2,832.52</t>
  </si>
  <si>
    <t>2024-07-23</t>
  </si>
  <si>
    <t>34251.18</t>
  </si>
  <si>
    <t>4-Feb-24</t>
  </si>
  <si>
    <t>₦25,541.05</t>
  </si>
  <si>
    <t>2024-01-28</t>
  </si>
  <si>
    <t>12,684.53</t>
  </si>
  <si>
    <t>13/8/2024</t>
  </si>
  <si>
    <t>17,526.18</t>
  </si>
  <si>
    <t>2024-02-10</t>
  </si>
  <si>
    <t>14962.08</t>
  </si>
  <si>
    <t>September 24, 2024</t>
  </si>
  <si>
    <t>₦17,701.43</t>
  </si>
  <si>
    <t>24/6/2024</t>
  </si>
  <si>
    <t>13,185.32</t>
  </si>
  <si>
    <t>September 25, 2024</t>
  </si>
  <si>
    <t>₦36,516.45</t>
  </si>
  <si>
    <t>2024-02-06</t>
  </si>
  <si>
    <t>₦906.04</t>
  </si>
  <si>
    <t>2024-01-14</t>
  </si>
  <si>
    <t>4/28/2024</t>
  </si>
  <si>
    <t>₦26,544.69</t>
  </si>
  <si>
    <t>27/7/2024</t>
  </si>
  <si>
    <t>11,766.40</t>
  </si>
  <si>
    <t>2024-08-20</t>
  </si>
  <si>
    <t>14/4/2024</t>
  </si>
  <si>
    <t>₦35,438.85</t>
  </si>
  <si>
    <t>10/4/2024</t>
  </si>
  <si>
    <t>18/8/2024</t>
  </si>
  <si>
    <t>2024-03-16</t>
  </si>
  <si>
    <t>₦26,605.61</t>
  </si>
  <si>
    <t>₦20,959.90</t>
  </si>
  <si>
    <t>2024-01-21</t>
  </si>
  <si>
    <t>5,947.79</t>
  </si>
  <si>
    <t>2/12/2024</t>
  </si>
  <si>
    <t>8658.81</t>
  </si>
  <si>
    <t>2024-03-22</t>
  </si>
  <si>
    <t>January 8, 2024</t>
  </si>
  <si>
    <t>19904.35</t>
  </si>
  <si>
    <t>₦8,532.32</t>
  </si>
  <si>
    <t>2024-04-24</t>
  </si>
  <si>
    <t>₦24,089.08</t>
  </si>
  <si>
    <t>2024-09-19</t>
  </si>
  <si>
    <t>35989.49</t>
  </si>
  <si>
    <t>2024-01-31</t>
  </si>
  <si>
    <t>23,496.71</t>
  </si>
  <si>
    <t>27-May-24</t>
  </si>
  <si>
    <t>2-Sep-24</t>
  </si>
  <si>
    <t>29,464.81</t>
  </si>
  <si>
    <t>12-Jun-24</t>
  </si>
  <si>
    <t>13,997.51</t>
  </si>
  <si>
    <t>2024-09-26</t>
  </si>
  <si>
    <t>₦15,232.19</t>
  </si>
  <si>
    <t>28/6/2024</t>
  </si>
  <si>
    <t>10,852.71</t>
  </si>
  <si>
    <t>21-Jul-24</t>
  </si>
  <si>
    <t>2024-02-12</t>
  </si>
  <si>
    <t>14/7/2024</t>
  </si>
  <si>
    <t>38,152.95</t>
  </si>
  <si>
    <t>August 2, 2024</t>
  </si>
  <si>
    <t>1/12/2024</t>
  </si>
  <si>
    <t>₦34,123.61</t>
  </si>
  <si>
    <t>5-Mar-24</t>
  </si>
  <si>
    <t>May 7, 2024</t>
  </si>
  <si>
    <t>3-Jul-24</t>
  </si>
  <si>
    <t>₦11,883.52</t>
  </si>
  <si>
    <t>8744.46</t>
  </si>
  <si>
    <t>2024-03-13</t>
  </si>
  <si>
    <t>1/6/2024</t>
  </si>
  <si>
    <t>25466.75</t>
  </si>
  <si>
    <t>2024-05-04</t>
  </si>
  <si>
    <t>12,021.85</t>
  </si>
  <si>
    <t>2024-08-01</t>
  </si>
  <si>
    <t>₦692.41</t>
  </si>
  <si>
    <t>2024-01-13</t>
  </si>
  <si>
    <t>42636.63</t>
  </si>
  <si>
    <t>15-Aug-24</t>
  </si>
  <si>
    <t>₦40,049.31</t>
  </si>
  <si>
    <t>2024-04-26</t>
  </si>
  <si>
    <t>₦27,329.66</t>
  </si>
  <si>
    <t>February 8, 2024</t>
  </si>
  <si>
    <t>June 26, 2024</t>
  </si>
  <si>
    <t>₦27,847.16</t>
  </si>
  <si>
    <t>2024-09-25</t>
  </si>
  <si>
    <t>25879.02</t>
  </si>
  <si>
    <t>5/13/2024</t>
  </si>
  <si>
    <t>22,341.62</t>
  </si>
  <si>
    <t>2024-05-05</t>
  </si>
  <si>
    <t>43,851.84</t>
  </si>
  <si>
    <t>2024-07-15</t>
  </si>
  <si>
    <t>37,398.85</t>
  </si>
  <si>
    <t>27-Aug-24</t>
  </si>
  <si>
    <t>28295.55</t>
  </si>
  <si>
    <t>June 24, 2024</t>
  </si>
  <si>
    <t>14620.62</t>
  </si>
  <si>
    <t>2024-02-23</t>
  </si>
  <si>
    <t>5-Sep-24</t>
  </si>
  <si>
    <t>14,552.66</t>
  </si>
  <si>
    <t>27/8/2024</t>
  </si>
  <si>
    <t>19-Sep-24</t>
  </si>
  <si>
    <t>39,343.33</t>
  </si>
  <si>
    <t>24/4/2024</t>
  </si>
  <si>
    <t>₦21,921.92</t>
  </si>
  <si>
    <t>35,688.11</t>
  </si>
  <si>
    <t>17-May-24</t>
  </si>
  <si>
    <t>20691.44</t>
  </si>
  <si>
    <t>2024-04-12</t>
  </si>
  <si>
    <t>12-May-24</t>
  </si>
  <si>
    <t>40,812.49</t>
  </si>
  <si>
    <t>September 21, 2024</t>
  </si>
  <si>
    <t>28,683.20</t>
  </si>
  <si>
    <t>January 23, 2024</t>
  </si>
  <si>
    <t>33,047.23</t>
  </si>
  <si>
    <t>6/12/2024</t>
  </si>
  <si>
    <t>43,822.63</t>
  </si>
  <si>
    <t>₦43,078.87</t>
  </si>
  <si>
    <t>2024-06-15</t>
  </si>
  <si>
    <t>37263.91</t>
  </si>
  <si>
    <t>March 29, 2024</t>
  </si>
  <si>
    <t>16,702.24</t>
  </si>
  <si>
    <t>3-Aug-24</t>
  </si>
  <si>
    <t>₦27,625.34</t>
  </si>
  <si>
    <t>2024-04-06</t>
  </si>
  <si>
    <t>40,218.84</t>
  </si>
  <si>
    <t>26/3/2024</t>
  </si>
  <si>
    <t>36,300.35</t>
  </si>
  <si>
    <t>₦39,457.17</t>
  </si>
  <si>
    <t>₦30,582.41</t>
  </si>
  <si>
    <t>8/8/2024</t>
  </si>
  <si>
    <t>20,297.91</t>
  </si>
  <si>
    <t>17/6/2024</t>
  </si>
  <si>
    <t>₦1,293.13</t>
  </si>
  <si>
    <t>29090.72</t>
  </si>
  <si>
    <t>₦11,704.83</t>
  </si>
  <si>
    <t>7/26/2024</t>
  </si>
  <si>
    <t>₦6,176.90</t>
  </si>
  <si>
    <t>2024-05-21</t>
  </si>
  <si>
    <t>₦19,558.00</t>
  </si>
  <si>
    <t>25/7/2024</t>
  </si>
  <si>
    <t>25025.47</t>
  </si>
  <si>
    <t>9/24/2024</t>
  </si>
  <si>
    <t>5975.01</t>
  </si>
  <si>
    <t>24-Jan-24</t>
  </si>
  <si>
    <t>4259.58</t>
  </si>
  <si>
    <t>2024-08-29</t>
  </si>
  <si>
    <t>18436.92</t>
  </si>
  <si>
    <t>43596.05</t>
  </si>
  <si>
    <t>11-Apr-24</t>
  </si>
  <si>
    <t>1814.18</t>
  </si>
  <si>
    <t>41,861.85</t>
  </si>
  <si>
    <t>6/13/2024</t>
  </si>
  <si>
    <t>5-Jul-24</t>
  </si>
  <si>
    <t>39,407.79</t>
  </si>
  <si>
    <t>2024-06-21</t>
  </si>
  <si>
    <t>37951.86</t>
  </si>
  <si>
    <t>2024-03-20</t>
  </si>
  <si>
    <t>42,577.27</t>
  </si>
  <si>
    <t>18/7/2024</t>
  </si>
  <si>
    <t>₦35,610.53</t>
  </si>
  <si>
    <t>23/9/2024</t>
  </si>
  <si>
    <t>1,977.12</t>
  </si>
  <si>
    <t>January 24, 2024</t>
  </si>
  <si>
    <t>16930.04</t>
  </si>
  <si>
    <t>2024-06-10</t>
  </si>
  <si>
    <t>16248.85</t>
  </si>
  <si>
    <t>1444.22</t>
  </si>
  <si>
    <t>July 27, 2024</t>
  </si>
  <si>
    <t>₦6,509.34</t>
  </si>
  <si>
    <t>31344.46</t>
  </si>
  <si>
    <t>22690.86</t>
  </si>
  <si>
    <t>₦31,247.43</t>
  </si>
  <si>
    <t>19,217.96</t>
  </si>
  <si>
    <t>44,935.18</t>
  </si>
  <si>
    <t>20/8/2024</t>
  </si>
  <si>
    <t>₦14,933.59</t>
  </si>
  <si>
    <t>2024-05-10</t>
  </si>
  <si>
    <t>22469.34</t>
  </si>
  <si>
    <t>2024-04-15</t>
  </si>
  <si>
    <t>₦41,961.66</t>
  </si>
  <si>
    <t>24-Mar-24</t>
  </si>
  <si>
    <t>18,663.57</t>
  </si>
  <si>
    <t>26-Aug-24</t>
  </si>
  <si>
    <t>₦34,126.53</t>
  </si>
  <si>
    <t>January 14, 2024</t>
  </si>
  <si>
    <t>₦32,960.15</t>
  </si>
  <si>
    <t>July 18, 2024</t>
  </si>
  <si>
    <t>37,853.80</t>
  </si>
  <si>
    <t>24/7/2024</t>
  </si>
  <si>
    <t>2024-04-11</t>
  </si>
  <si>
    <t>₦34,393.42</t>
  </si>
  <si>
    <t>branch_name</t>
  </si>
  <si>
    <t>city</t>
  </si>
  <si>
    <t>Lekki Branch</t>
  </si>
  <si>
    <t>Lagos</t>
  </si>
  <si>
    <t>Wuse Branch</t>
  </si>
  <si>
    <t>Abuja</t>
  </si>
  <si>
    <t>GRA Branch</t>
  </si>
  <si>
    <t>Port Harcourt</t>
  </si>
  <si>
    <t>Sabon Gari Branch</t>
  </si>
  <si>
    <t>Kano</t>
  </si>
  <si>
    <t>Bodija Branch</t>
  </si>
  <si>
    <t>Ibadan</t>
  </si>
  <si>
    <t>staff_name</t>
  </si>
  <si>
    <t>department</t>
  </si>
  <si>
    <t>Chika Nwankwo</t>
  </si>
  <si>
    <t>Sales</t>
  </si>
  <si>
    <t>Tobi Adewale</t>
  </si>
  <si>
    <t>Halima Yusuf</t>
  </si>
  <si>
    <t>Ekene Obi</t>
  </si>
  <si>
    <t>Funke Ajayi</t>
  </si>
  <si>
    <t>Ibrahim Sani</t>
  </si>
  <si>
    <t>Kelechi Umeh</t>
  </si>
  <si>
    <t>Ronke Bakare</t>
  </si>
  <si>
    <t>Transaction_Id</t>
  </si>
  <si>
    <t>Branch_Code</t>
  </si>
  <si>
    <t>Staff_Id</t>
  </si>
  <si>
    <t>Product_Category</t>
  </si>
  <si>
    <t>Product_Name</t>
  </si>
  <si>
    <t>Quantity</t>
  </si>
  <si>
    <t>Unit_Price</t>
  </si>
  <si>
    <t>Discount_Applied</t>
  </si>
  <si>
    <t>Customer_Type</t>
  </si>
  <si>
    <t>Total_Sale</t>
  </si>
  <si>
    <t>Returned</t>
  </si>
  <si>
    <t/>
  </si>
  <si>
    <t>NO</t>
  </si>
  <si>
    <t>YES</t>
  </si>
  <si>
    <t>Date_of_Sale</t>
  </si>
  <si>
    <t>Payment_Method</t>
  </si>
  <si>
    <t>Row Labels</t>
  </si>
  <si>
    <t>Grand Total</t>
  </si>
  <si>
    <t>Sum of Total_Sale</t>
  </si>
  <si>
    <t>Branch_Name</t>
  </si>
  <si>
    <t>TOTAL REVENUE BY BRANCH</t>
  </si>
  <si>
    <t>BEST AND WORST PERFORMERS</t>
  </si>
  <si>
    <t>SALES GENERATED BY STAFFS</t>
  </si>
  <si>
    <t>Staff_Name</t>
  </si>
  <si>
    <t>NEW VS RETURNING CUSTOMER</t>
  </si>
  <si>
    <t>S099 (NOT FOUND)</t>
  </si>
  <si>
    <t>S100 (NOT FOUND)</t>
  </si>
  <si>
    <t>SXXX (NOT FOUND)</t>
  </si>
  <si>
    <t>BRXX(NOT FOUND)</t>
  </si>
  <si>
    <t>BR09(NOT FOUND)</t>
  </si>
  <si>
    <t>BR12(NOT FOUND)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</si>
</sst>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[retail_branch_sales_analysis.xlsx]Pivot_Summary!PivotTable2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Pivot_Summary!$C$2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Pivot_Summary!$B$3:$B$11</c:f>
              <c:strCache>
                <c:ptCount val="8"/>
                <c:pt idx="0">
                  <c:v>Bodija Branch</c:v>
                </c:pt>
                <c:pt idx="1">
                  <c:v>GRA Branch</c:v>
                </c:pt>
                <c:pt idx="2">
                  <c:v>Lekki Branch</c:v>
                </c:pt>
                <c:pt idx="3">
                  <c:v>Sabon Gari Branch</c:v>
                </c:pt>
                <c:pt idx="4">
                  <c:v>Wuse Branch</c:v>
                </c:pt>
                <c:pt idx="5">
                  <c:v>BRXX(NOT FOUND)</c:v>
                </c:pt>
                <c:pt idx="6">
                  <c:v>BR09(NOT FOUND)</c:v>
                </c:pt>
                <c:pt idx="7">
                  <c:v>BR12(NOT FOUND)</c:v>
                </c:pt>
              </c:strCache>
            </c:strRef>
          </c:cat>
          <c:val>
            <c:numRef>
              <c:f>Pivot_Summary!$C$3:$C$11</c:f>
              <c:numCache>
                <c:formatCode>General</c:formatCode>
                <c:ptCount val="8"/>
                <c:pt idx="0">
                  <c:v>3652522.88</c:v>
                </c:pt>
                <c:pt idx="1">
                  <c:v>2623758.5310000009</c:v>
                </c:pt>
                <c:pt idx="2">
                  <c:v>4225729.7579999994</c:v>
                </c:pt>
                <c:pt idx="3">
                  <c:v>2742787.5929999999</c:v>
                </c:pt>
                <c:pt idx="4">
                  <c:v>3915249.7909999997</c:v>
                </c:pt>
                <c:pt idx="5">
                  <c:v>72170.34</c:v>
                </c:pt>
                <c:pt idx="6">
                  <c:v>0</c:v>
                </c:pt>
                <c:pt idx="7">
                  <c:v>204653.50100000002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9-44FD-B10A-E420826E5C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6945999"/>
        <c:axId val="1416942255"/>
      </c:barChart>
      <c:catAx>
        <c:axId val="141694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942255"/>
        <c:crosses val="autoZero"/>
        <c:auto val="1"/>
        <c:lblAlgn val="ctr"/>
        <c:lblOffset val="100"/>
        <c:noMultiLvlLbl val="0"/>
      </c:catAx>
      <c:valAx>
        <c:axId val="141694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94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[retail_branch_sales_analysis.xlsx]Pivot_Summary!PivotTable4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Pivot_Summary!$N$2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Pivot_Summary!$M$3:$M$7</c:f>
              <c:strCache>
                <c:ptCount val="4"/>
                <c:pt idx="0">
                  <c:v>Electronics</c:v>
                </c:pt>
                <c:pt idx="1">
                  <c:v>Groceries</c:v>
                </c:pt>
                <c:pt idx="2">
                  <c:v>Home &amp; Kitchen</c:v>
                </c:pt>
                <c:pt idx="3">
                  <c:v>Personal Care</c:v>
                </c:pt>
              </c:strCache>
            </c:strRef>
          </c:cat>
          <c:val>
            <c:numRef>
              <c:f>Pivot_Summary!$N$3:$N$7</c:f>
              <c:numCache>
                <c:formatCode>General</c:formatCode>
                <c:ptCount val="4"/>
                <c:pt idx="0">
                  <c:v>5633411.8559999997</c:v>
                </c:pt>
                <c:pt idx="1">
                  <c:v>4074959.1489999993</c:v>
                </c:pt>
                <c:pt idx="2">
                  <c:v>3034480.4749999992</c:v>
                </c:pt>
                <c:pt idx="3">
                  <c:v>4694020.9140000017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F-4697-9881-EEEC69706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8305135"/>
        <c:axId val="1598307215"/>
      </c:barChart>
      <c:catAx>
        <c:axId val="159830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307215"/>
        <c:crosses val="autoZero"/>
        <c:auto val="1"/>
        <c:lblAlgn val="ctr"/>
        <c:lblOffset val="100"/>
        <c:noMultiLvlLbl val="0"/>
      </c:catAx>
      <c:valAx>
        <c:axId val="159830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30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117475</xdr:colOff>
      <xdr:row>0</xdr:row>
      <xdr:rowOff>171451</xdr:rowOff>
    </xdr:from>
    <xdr:to>
      <xdr:col>8</xdr:col>
      <xdr:colOff>355600</xdr:colOff>
      <xdr:row>13</xdr:row>
      <xdr:rowOff>50801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231775</xdr:colOff>
      <xdr:row>1</xdr:row>
      <xdr:rowOff>19049</xdr:rowOff>
    </xdr:from>
    <xdr:to>
      <xdr:col>20</xdr:col>
      <xdr:colOff>228600</xdr:colOff>
      <xdr:row>15</xdr:row>
      <xdr:rowOff>149224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RED" refreshedDate="46288.800648611112" createdVersion="6" refreshedVersion="6" minRefreshableVersion="3" recordCount="508">
  <cacheSource type="worksheet">
    <worksheetSource ref="A1:O509" sheet="Cleaned_Transactions"/>
  </cacheSource>
  <cacheFields count="15">
    <cacheField name="Transaction_Id" numFmtId="0">
      <sharedItems containsSemiMixedTypes="0" containsString="0" containsNumber="1" containsInteger="1" minValue="5001" maxValue="5500"/>
    </cacheField>
    <cacheField name="Branch_Code" numFmtId="0">
      <sharedItems/>
    </cacheField>
    <cacheField name="Branch_Name" numFmtId="0">
      <sharedItems count="13">
        <s v="Wuse Branch"/>
        <s v="Lekki Branch"/>
        <s v="BRXX(NOT FOUND)"/>
        <s v="Sabon Gari Branch"/>
        <s v="Bodija Branch"/>
        <s v="GRA Branch"/>
        <s v="BR09(NOT FOUND)"/>
        <s v="BR12(NOT FOUND)"/>
        <s v="" u="1"/>
        <s v="BR09(NOT FOUND" u="1"/>
        <s v="BRXX(NOT FOUND" u="1"/>
        <s v="BRXX" u="1"/>
        <s v="BR12(NOT FOUND" u="1"/>
      </sharedItems>
    </cacheField>
    <cacheField name="Date_of_Sale" numFmtId="14">
      <sharedItems containsSemiMixedTypes="0" containsNonDate="0" containsDate="1" containsString="0" minDate="2024-01-02T00:00:00" maxDate="2024-12-07T00:00:00"/>
    </cacheField>
    <cacheField name="Staff_Id" numFmtId="0">
      <sharedItems/>
    </cacheField>
    <cacheField name="Staff_Name" numFmtId="0">
      <sharedItems count="16">
        <s v="Ibrahim Sani"/>
        <s v="Tobi Adewale"/>
        <s v="Funke Ajayi"/>
        <s v="Halima Yusuf"/>
        <s v="Kelechi Umeh"/>
        <s v="Chika Nwankwo"/>
        <s v="Ekene Obi"/>
        <s v="S099 (NOT FOUND)"/>
        <s v="S100 (NOT FOUND)"/>
        <s v="Ronke Bakare"/>
        <s v="SXXX (NOT FOUND)"/>
        <s v="" u="1"/>
        <s v="SXXXNON PARTISAN" u="1"/>
        <s v="NON PARTISAN" u="1"/>
        <s v="S099NON PARTISAN" u="1"/>
        <s v="S100NON PARTISAN" u="1"/>
      </sharedItems>
    </cacheField>
    <cacheField name="Product_Category" numFmtId="0">
      <sharedItems count="4">
        <s v="Electronics"/>
        <s v="Home &amp; Kitchen"/>
        <s v="Groceries"/>
        <s v="Personal Care"/>
      </sharedItems>
    </cacheField>
    <cacheField name="Product_Name" numFmtId="0">
      <sharedItems/>
    </cacheField>
    <cacheField name="Quantity" numFmtId="0">
      <sharedItems containsString="0" containsBlank="1" containsNumber="1" containsInteger="1" minValue="1" maxValue="5"/>
    </cacheField>
    <cacheField name="Unit_Price" numFmtId="0">
      <sharedItems containsMixedTypes="1" containsNumber="1" minValue="692.41" maxValue="44946.27"/>
    </cacheField>
    <cacheField name="Discount_Applied" numFmtId="0">
      <sharedItems containsMixedTypes="1" containsNumber="1" containsInteger="1" minValue="0" maxValue="15"/>
    </cacheField>
    <cacheField name="Payment_Method" numFmtId="0">
      <sharedItems/>
    </cacheField>
    <cacheField name="Customer_Type" numFmtId="0">
      <sharedItems/>
    </cacheField>
    <cacheField name="Total_Sale" numFmtId="0">
      <sharedItems containsMixedTypes="1" containsNumber="1" minValue="588.54849999999999" maxValue="223847.15"/>
    </cacheField>
    <cacheField name="Returned" numFmtId="0">
      <sharedItems count="3">
        <s v="NO"/>
        <s v="YES"/>
        <s v="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8">
  <r>
    <n v="5453"/>
    <s v="BR02"/>
    <x v="0"/>
    <d v="2024-01-24T00:00:00"/>
    <s v="S006"/>
    <x v="0"/>
    <x v="0"/>
    <s v="Bluetooth Speaker"/>
    <n v="5"/>
    <s v=""/>
    <n v="0"/>
    <s v="Card"/>
    <s v="Returning"/>
    <s v=""/>
    <x v="0"/>
  </r>
  <r>
    <n v="5302"/>
    <s v="BR01"/>
    <x v="1"/>
    <d v="2024-01-18T00:00:00"/>
    <s v="S002"/>
    <x v="1"/>
    <x v="1"/>
    <s v="Storage Containers"/>
    <m/>
    <n v="10605.57"/>
    <s v=""/>
    <s v="Card"/>
    <s v="Returning"/>
    <s v=""/>
    <x v="1"/>
  </r>
  <r>
    <n v="5026"/>
    <s v="BR02"/>
    <x v="0"/>
    <d v="2024-09-15T00:00:00"/>
    <s v="S005"/>
    <x v="2"/>
    <x v="2"/>
    <s v="Spaghetti Pack"/>
    <m/>
    <n v="8416.5400000000009"/>
    <n v="0"/>
    <s v="Card"/>
    <s v="New"/>
    <s v=""/>
    <x v="1"/>
  </r>
  <r>
    <n v="5001"/>
    <s v="BR02"/>
    <x v="0"/>
    <d v="2024-08-05T00:00:00"/>
    <s v="S002"/>
    <x v="1"/>
    <x v="0"/>
    <s v="HDMI Cable"/>
    <n v="5"/>
    <s v=""/>
    <n v="15"/>
    <s v="Card"/>
    <s v="New"/>
    <s v=""/>
    <x v="1"/>
  </r>
  <r>
    <n v="5380"/>
    <s v="BR01"/>
    <x v="1"/>
    <d v="2024-05-22T00:00:00"/>
    <s v="S002"/>
    <x v="1"/>
    <x v="1"/>
    <s v="Blender"/>
    <n v="1"/>
    <s v=""/>
    <s v=""/>
    <s v="Cash"/>
    <s v="Returning"/>
    <s v=""/>
    <x v="2"/>
  </r>
  <r>
    <n v="5214"/>
    <s v="BRXX"/>
    <x v="2"/>
    <d v="2024-08-26T00:00:00"/>
    <s v="S003"/>
    <x v="3"/>
    <x v="1"/>
    <s v="Cutlery Set"/>
    <m/>
    <n v="33815.79"/>
    <n v="5"/>
    <s v="Cash"/>
    <s v="Returning"/>
    <s v=""/>
    <x v="1"/>
  </r>
  <r>
    <n v="5410"/>
    <s v="BR04"/>
    <x v="3"/>
    <d v="2024-08-16T00:00:00"/>
    <s v="S007"/>
    <x v="4"/>
    <x v="2"/>
    <s v="Cooking Oil (1L)"/>
    <n v="5"/>
    <n v="23072.48"/>
    <n v="0"/>
    <s v="Transfer"/>
    <s v="New"/>
    <n v="115362.4"/>
    <x v="0"/>
  </r>
  <r>
    <n v="5350"/>
    <s v="BR01"/>
    <x v="1"/>
    <d v="2024-05-03T00:00:00"/>
    <s v="S006"/>
    <x v="0"/>
    <x v="3"/>
    <s v="Toothpaste"/>
    <n v="5"/>
    <n v="32386.21"/>
    <n v="0"/>
    <s v="Card"/>
    <s v="New"/>
    <n v="161931.04999999999"/>
    <x v="0"/>
  </r>
  <r>
    <n v="5445"/>
    <s v="BR05"/>
    <x v="4"/>
    <d v="2024-03-06T00:00:00"/>
    <s v="S007"/>
    <x v="4"/>
    <x v="1"/>
    <s v="Cutlery Set"/>
    <n v="1"/>
    <n v="1321.59"/>
    <n v="10"/>
    <s v="Card"/>
    <s v="Returning"/>
    <n v="1189.431"/>
    <x v="1"/>
  </r>
  <r>
    <n v="5227"/>
    <s v="BR05"/>
    <x v="4"/>
    <d v="2024-06-04T00:00:00"/>
    <s v="S001"/>
    <x v="5"/>
    <x v="3"/>
    <s v="Deodorant"/>
    <m/>
    <s v=""/>
    <s v=""/>
    <s v="Transfer"/>
    <s v="New"/>
    <s v=""/>
    <x v="0"/>
  </r>
  <r>
    <n v="5478"/>
    <s v="BR03"/>
    <x v="5"/>
    <d v="2024-04-15T00:00:00"/>
    <s v="S003"/>
    <x v="3"/>
    <x v="0"/>
    <s v="Phone Charger"/>
    <m/>
    <n v="26958.25"/>
    <n v="10"/>
    <s v="Transfer"/>
    <s v="Returning"/>
    <s v=""/>
    <x v="0"/>
  </r>
  <r>
    <n v="5439"/>
    <s v="BR02"/>
    <x v="0"/>
    <d v="2024-05-08T00:00:00"/>
    <s v="S004"/>
    <x v="6"/>
    <x v="3"/>
    <s v="Toothpaste"/>
    <n v="3"/>
    <s v=""/>
    <n v="5"/>
    <s v="Cash"/>
    <s v="New"/>
    <s v=""/>
    <x v="0"/>
  </r>
  <r>
    <n v="5058"/>
    <s v="BR01"/>
    <x v="1"/>
    <d v="2024-09-19T00:00:00"/>
    <s v="S099"/>
    <x v="7"/>
    <x v="1"/>
    <s v="Blender"/>
    <n v="3"/>
    <s v=""/>
    <s v=""/>
    <s v="Cash"/>
    <s v="New"/>
    <s v=""/>
    <x v="0"/>
  </r>
  <r>
    <n v="5384"/>
    <s v="BR05"/>
    <x v="4"/>
    <d v="2024-04-06T00:00:00"/>
    <s v="S004"/>
    <x v="6"/>
    <x v="1"/>
    <s v="Storage Containers"/>
    <n v="2"/>
    <n v="17169.84"/>
    <n v="15"/>
    <s v="Transfer"/>
    <s v="Returning"/>
    <n v="29188.727999999999"/>
    <x v="0"/>
  </r>
  <r>
    <n v="5101"/>
    <s v="BR05"/>
    <x v="4"/>
    <d v="2024-09-14T00:00:00"/>
    <s v="S004"/>
    <x v="6"/>
    <x v="3"/>
    <s v="Deodorant"/>
    <n v="3"/>
    <n v="25154.23"/>
    <n v="0"/>
    <s v="Transfer"/>
    <s v="Returning"/>
    <n v="75462.69"/>
    <x v="0"/>
  </r>
  <r>
    <n v="5176"/>
    <s v="BR03"/>
    <x v="5"/>
    <d v="2024-03-22T00:00:00"/>
    <s v="S100"/>
    <x v="8"/>
    <x v="2"/>
    <s v="Tomato Paste"/>
    <n v="1"/>
    <s v=""/>
    <n v="5"/>
    <s v="Transfer"/>
    <s v="Returning"/>
    <s v=""/>
    <x v="0"/>
  </r>
  <r>
    <n v="5310"/>
    <s v="BR04"/>
    <x v="3"/>
    <d v="2024-06-20T00:00:00"/>
    <s v="S003"/>
    <x v="3"/>
    <x v="2"/>
    <s v="Cooking Oil (1L)"/>
    <m/>
    <s v=""/>
    <n v="10"/>
    <s v="Cash"/>
    <s v="Returning"/>
    <s v=""/>
    <x v="0"/>
  </r>
  <r>
    <n v="5167"/>
    <s v="BR03"/>
    <x v="5"/>
    <d v="2024-03-31T00:00:00"/>
    <s v="S007"/>
    <x v="4"/>
    <x v="2"/>
    <s v="Spaghetti Pack"/>
    <n v="1"/>
    <n v="23400.68"/>
    <n v="10"/>
    <s v="Transfer"/>
    <s v="New"/>
    <n v="21060.612000000001"/>
    <x v="0"/>
  </r>
  <r>
    <n v="5217"/>
    <s v="BR05"/>
    <x v="4"/>
    <d v="2024-09-26T00:00:00"/>
    <s v="S003"/>
    <x v="3"/>
    <x v="2"/>
    <s v="Tomato Paste"/>
    <n v="4"/>
    <n v="5589.59"/>
    <s v=""/>
    <s v="Cash"/>
    <s v="Returning"/>
    <n v="22358.36"/>
    <x v="1"/>
  </r>
  <r>
    <n v="5007"/>
    <s v="BR02"/>
    <x v="0"/>
    <d v="2024-07-31T00:00:00"/>
    <s v="S008"/>
    <x v="9"/>
    <x v="0"/>
    <s v="Power Bank"/>
    <n v="5"/>
    <s v=""/>
    <s v=""/>
    <s v="Card"/>
    <s v="New"/>
    <s v=""/>
    <x v="0"/>
  </r>
  <r>
    <n v="5363"/>
    <s v="BR05"/>
    <x v="4"/>
    <d v="2024-09-18T00:00:00"/>
    <s v="S003"/>
    <x v="3"/>
    <x v="1"/>
    <s v="Kettle"/>
    <n v="4"/>
    <n v="37413.699999999997"/>
    <n v="0"/>
    <s v="Cash"/>
    <s v="Returning"/>
    <n v="149654.79999999999"/>
    <x v="2"/>
  </r>
  <r>
    <n v="5271"/>
    <s v="BR03"/>
    <x v="5"/>
    <d v="2024-01-29T00:00:00"/>
    <s v="S004"/>
    <x v="6"/>
    <x v="3"/>
    <s v="Soap Bar"/>
    <n v="5"/>
    <s v=""/>
    <n v="10"/>
    <s v="Card"/>
    <s v="Returning"/>
    <s v=""/>
    <x v="1"/>
  </r>
  <r>
    <n v="5235"/>
    <s v="BR03"/>
    <x v="5"/>
    <d v="2024-03-29T00:00:00"/>
    <s v="S008"/>
    <x v="9"/>
    <x v="0"/>
    <s v="HDMI Cable"/>
    <n v="1"/>
    <n v="42907.41"/>
    <n v="5"/>
    <s v="Card"/>
    <s v="New"/>
    <n v="40762.039500000006"/>
    <x v="0"/>
  </r>
  <r>
    <n v="5116"/>
    <s v="BR02"/>
    <x v="0"/>
    <d v="2024-07-22T00:00:00"/>
    <s v="S006"/>
    <x v="0"/>
    <x v="2"/>
    <s v="Cooking Oil (1L)"/>
    <n v="1"/>
    <s v=""/>
    <n v="15"/>
    <s v="Card"/>
    <s v="Returning"/>
    <s v=""/>
    <x v="1"/>
  </r>
  <r>
    <n v="5353"/>
    <s v="BR05"/>
    <x v="4"/>
    <d v="2024-04-18T00:00:00"/>
    <s v="S008"/>
    <x v="9"/>
    <x v="1"/>
    <s v="Cutlery Set"/>
    <n v="1"/>
    <s v=""/>
    <n v="10"/>
    <s v="Cash"/>
    <s v="Returning"/>
    <s v=""/>
    <x v="2"/>
  </r>
  <r>
    <n v="5338"/>
    <s v="BR05"/>
    <x v="4"/>
    <d v="2024-02-21T00:00:00"/>
    <s v="S003"/>
    <x v="3"/>
    <x v="2"/>
    <s v="Cooking Oil (1L)"/>
    <m/>
    <s v=""/>
    <n v="10"/>
    <s v="Cash"/>
    <s v="Returning"/>
    <s v=""/>
    <x v="0"/>
  </r>
  <r>
    <n v="5343"/>
    <s v="BR02"/>
    <x v="0"/>
    <d v="2024-09-22T00:00:00"/>
    <s v="S006"/>
    <x v="0"/>
    <x v="0"/>
    <s v="HDMI Cable"/>
    <n v="3"/>
    <s v=""/>
    <s v=""/>
    <s v="Card"/>
    <s v="New"/>
    <s v=""/>
    <x v="0"/>
  </r>
  <r>
    <n v="5372"/>
    <s v="BR01"/>
    <x v="1"/>
    <d v="2024-08-24T00:00:00"/>
    <s v="S008"/>
    <x v="9"/>
    <x v="1"/>
    <s v="Kettle"/>
    <n v="4"/>
    <s v=""/>
    <n v="5"/>
    <s v="Card"/>
    <s v="Returning"/>
    <s v=""/>
    <x v="1"/>
  </r>
  <r>
    <n v="5224"/>
    <s v="BR01"/>
    <x v="1"/>
    <d v="2024-02-01T00:00:00"/>
    <s v="S002"/>
    <x v="1"/>
    <x v="3"/>
    <s v="Soap Bar"/>
    <n v="1"/>
    <n v="30043.06"/>
    <s v=""/>
    <s v="Card"/>
    <s v="Returning"/>
    <n v="30043.06"/>
    <x v="2"/>
  </r>
  <r>
    <n v="5205"/>
    <s v="BR04"/>
    <x v="3"/>
    <d v="2024-01-22T00:00:00"/>
    <s v="S008"/>
    <x v="9"/>
    <x v="0"/>
    <s v="Power Bank"/>
    <n v="3"/>
    <n v="27994.84"/>
    <s v=""/>
    <s v="Transfer"/>
    <s v="Returning"/>
    <n v="83984.52"/>
    <x v="0"/>
  </r>
  <r>
    <n v="5305"/>
    <s v="BRXX"/>
    <x v="2"/>
    <d v="2024-04-19T00:00:00"/>
    <s v="S002"/>
    <x v="1"/>
    <x v="3"/>
    <s v="Shampoo"/>
    <n v="2"/>
    <n v="22968.48"/>
    <s v=""/>
    <s v="Transfer"/>
    <s v="New"/>
    <n v="45936.959999999999"/>
    <x v="1"/>
  </r>
  <r>
    <n v="5210"/>
    <s v="BR02"/>
    <x v="0"/>
    <d v="2024-01-27T00:00:00"/>
    <s v="S001"/>
    <x v="5"/>
    <x v="2"/>
    <s v="Sugar (1kg)"/>
    <n v="3"/>
    <n v="4354.34"/>
    <s v=""/>
    <s v="Transfer"/>
    <s v="Returning"/>
    <n v="13063.02"/>
    <x v="0"/>
  </r>
  <r>
    <n v="5008"/>
    <s v="BR04"/>
    <x v="3"/>
    <d v="2024-08-07T00:00:00"/>
    <s v="S003"/>
    <x v="3"/>
    <x v="2"/>
    <s v="Cooking Oil (1L)"/>
    <n v="1"/>
    <n v="22080.84"/>
    <n v="0"/>
    <s v="Card"/>
    <s v="New"/>
    <n v="22080.84"/>
    <x v="0"/>
  </r>
  <r>
    <n v="5355"/>
    <s v="BR05"/>
    <x v="4"/>
    <d v="2024-06-07T00:00:00"/>
    <s v="S007"/>
    <x v="4"/>
    <x v="3"/>
    <s v="Body Lotion"/>
    <n v="5"/>
    <n v="25569.200000000001"/>
    <s v=""/>
    <s v="Cash"/>
    <s v="Returning"/>
    <n v="127846"/>
    <x v="1"/>
  </r>
  <r>
    <n v="5431"/>
    <s v="BR05"/>
    <x v="4"/>
    <d v="2024-03-01T00:00:00"/>
    <s v="S003"/>
    <x v="3"/>
    <x v="0"/>
    <s v="HDMI Cable"/>
    <n v="2"/>
    <n v="36302.69"/>
    <s v=""/>
    <s v="Cash"/>
    <s v="Returning"/>
    <n v="72605.38"/>
    <x v="1"/>
  </r>
  <r>
    <n v="5373"/>
    <s v="BR05"/>
    <x v="4"/>
    <d v="2024-03-08T00:00:00"/>
    <s v="S002"/>
    <x v="1"/>
    <x v="3"/>
    <s v="Deodorant"/>
    <n v="1"/>
    <n v="12020.08"/>
    <s v=""/>
    <s v="Cash"/>
    <s v="Returning"/>
    <n v="12020.08"/>
    <x v="2"/>
  </r>
  <r>
    <n v="5402"/>
    <s v="BR05"/>
    <x v="4"/>
    <d v="2024-02-20T00:00:00"/>
    <s v="S006"/>
    <x v="0"/>
    <x v="2"/>
    <s v="Cooking Oil (1L)"/>
    <n v="1"/>
    <n v="30457.19"/>
    <s v=""/>
    <s v="Card"/>
    <s v="New"/>
    <n v="30457.19"/>
    <x v="0"/>
  </r>
  <r>
    <n v="5394"/>
    <s v="BR09"/>
    <x v="6"/>
    <d v="2024-02-03T00:00:00"/>
    <s v="S008"/>
    <x v="9"/>
    <x v="1"/>
    <s v="Blender"/>
    <n v="5"/>
    <s v=""/>
    <s v=""/>
    <s v="Cash"/>
    <s v="Returning"/>
    <s v=""/>
    <x v="1"/>
  </r>
  <r>
    <n v="5103"/>
    <s v="BR04"/>
    <x v="3"/>
    <d v="2024-02-12T00:00:00"/>
    <s v="S001"/>
    <x v="5"/>
    <x v="2"/>
    <s v="Tomato Paste"/>
    <m/>
    <s v=""/>
    <s v=""/>
    <s v="Card"/>
    <s v="Returning"/>
    <s v=""/>
    <x v="0"/>
  </r>
  <r>
    <n v="5227"/>
    <s v="BR05"/>
    <x v="4"/>
    <d v="2024-06-04T00:00:00"/>
    <s v="S001"/>
    <x v="5"/>
    <x v="3"/>
    <s v="Deodorant"/>
    <m/>
    <s v=""/>
    <s v=""/>
    <s v="Transfer"/>
    <s v="New"/>
    <s v=""/>
    <x v="0"/>
  </r>
  <r>
    <n v="5164"/>
    <s v="BR03"/>
    <x v="5"/>
    <d v="2024-09-26T00:00:00"/>
    <s v="S005"/>
    <x v="2"/>
    <x v="2"/>
    <s v="Rice (5kg)"/>
    <n v="1"/>
    <n v="1625.54"/>
    <n v="0"/>
    <s v="Cash"/>
    <s v="New"/>
    <n v="1625.54"/>
    <x v="0"/>
  </r>
  <r>
    <n v="5171"/>
    <s v="BR04"/>
    <x v="3"/>
    <d v="2024-09-14T00:00:00"/>
    <s v="S004"/>
    <x v="6"/>
    <x v="0"/>
    <s v="Phone Charger"/>
    <n v="5"/>
    <n v="4070.17"/>
    <s v=""/>
    <s v="Transfer"/>
    <s v="New"/>
    <n v="20350.849999999999"/>
    <x v="2"/>
  </r>
  <r>
    <n v="5319"/>
    <s v="BR04"/>
    <x v="3"/>
    <d v="2024-03-23T00:00:00"/>
    <s v="S001"/>
    <x v="5"/>
    <x v="0"/>
    <s v="HDMI Cable"/>
    <m/>
    <s v=""/>
    <n v="0"/>
    <s v="Transfer"/>
    <s v="Returning"/>
    <s v=""/>
    <x v="1"/>
  </r>
  <r>
    <n v="5258"/>
    <s v="BR02"/>
    <x v="0"/>
    <d v="2024-06-07T00:00:00"/>
    <s v="S002"/>
    <x v="1"/>
    <x v="3"/>
    <s v="Shampoo"/>
    <n v="2"/>
    <n v="38312.980000000003"/>
    <n v="10"/>
    <s v="Cash"/>
    <s v="New"/>
    <n v="68963.364000000001"/>
    <x v="0"/>
  </r>
  <r>
    <n v="5179"/>
    <s v="BR01"/>
    <x v="1"/>
    <d v="2024-05-01T00:00:00"/>
    <s v="S006"/>
    <x v="0"/>
    <x v="2"/>
    <s v="Rice (5kg)"/>
    <n v="1"/>
    <n v="39321.03"/>
    <n v="0"/>
    <s v="Cash"/>
    <s v="Returning"/>
    <n v="39321.03"/>
    <x v="2"/>
  </r>
  <r>
    <n v="5068"/>
    <s v="BR05"/>
    <x v="4"/>
    <d v="2024-05-20T00:00:00"/>
    <s v="S008"/>
    <x v="9"/>
    <x v="3"/>
    <s v="Toothpaste"/>
    <m/>
    <s v=""/>
    <n v="0"/>
    <s v="Cash"/>
    <s v="New"/>
    <s v=""/>
    <x v="0"/>
  </r>
  <r>
    <n v="5088"/>
    <s v="BR02"/>
    <x v="0"/>
    <d v="2024-08-11T00:00:00"/>
    <s v="S007"/>
    <x v="4"/>
    <x v="3"/>
    <s v="Toothpaste"/>
    <n v="1"/>
    <s v=""/>
    <n v="10"/>
    <s v="Card"/>
    <s v="Returning"/>
    <s v=""/>
    <x v="2"/>
  </r>
  <r>
    <n v="5173"/>
    <s v="BR02"/>
    <x v="0"/>
    <d v="2024-06-23T00:00:00"/>
    <s v="S003"/>
    <x v="3"/>
    <x v="1"/>
    <s v="Non-stick Pan"/>
    <n v="2"/>
    <n v="25551.69"/>
    <n v="5"/>
    <s v="Cash"/>
    <s v="Returning"/>
    <n v="48548.210999999996"/>
    <x v="2"/>
  </r>
  <r>
    <n v="5013"/>
    <s v="BR02"/>
    <x v="0"/>
    <d v="2024-04-22T00:00:00"/>
    <s v="S006"/>
    <x v="0"/>
    <x v="0"/>
    <s v="Wireless Earbuds"/>
    <n v="4"/>
    <n v="12033.26"/>
    <n v="15"/>
    <s v="Cash"/>
    <s v="New"/>
    <n v="40913.084000000003"/>
    <x v="1"/>
  </r>
  <r>
    <n v="5496"/>
    <s v="BR02"/>
    <x v="0"/>
    <d v="2024-01-04T00:00:00"/>
    <s v="S001"/>
    <x v="5"/>
    <x v="0"/>
    <s v="Wireless Earbuds"/>
    <n v="3"/>
    <n v="26033.94"/>
    <n v="10"/>
    <s v="Cash"/>
    <s v="New"/>
    <n v="70291.637999999992"/>
    <x v="1"/>
  </r>
  <r>
    <n v="5473"/>
    <s v="BR02"/>
    <x v="0"/>
    <d v="2024-04-13T00:00:00"/>
    <s v="S006"/>
    <x v="0"/>
    <x v="1"/>
    <s v="Non-stick Pan"/>
    <m/>
    <s v=""/>
    <n v="5"/>
    <s v="Cash"/>
    <s v="Returning"/>
    <s v=""/>
    <x v="1"/>
  </r>
  <r>
    <n v="5208"/>
    <s v="BR05"/>
    <x v="4"/>
    <d v="2024-04-23T00:00:00"/>
    <s v="S004"/>
    <x v="6"/>
    <x v="1"/>
    <s v="Kettle"/>
    <m/>
    <s v=""/>
    <s v=""/>
    <s v="Transfer"/>
    <s v="New"/>
    <s v=""/>
    <x v="1"/>
  </r>
  <r>
    <n v="5213"/>
    <s v="BR05"/>
    <x v="4"/>
    <d v="2024-09-11T00:00:00"/>
    <s v="S008"/>
    <x v="9"/>
    <x v="2"/>
    <s v="Cooking Oil (1L)"/>
    <n v="4"/>
    <n v="38686.51"/>
    <s v=""/>
    <s v="Card"/>
    <s v="Returning"/>
    <n v="154746.04"/>
    <x v="1"/>
  </r>
  <r>
    <n v="5109"/>
    <s v="BR03"/>
    <x v="5"/>
    <d v="2024-08-19T00:00:00"/>
    <s v="S008"/>
    <x v="9"/>
    <x v="1"/>
    <s v="Cutlery Set"/>
    <n v="1"/>
    <s v=""/>
    <n v="15"/>
    <s v="Transfer"/>
    <s v="Returning"/>
    <s v=""/>
    <x v="2"/>
  </r>
  <r>
    <n v="5178"/>
    <s v="BR03"/>
    <x v="5"/>
    <d v="2024-03-14T00:00:00"/>
    <s v="S008"/>
    <x v="9"/>
    <x v="3"/>
    <s v="Toothpaste"/>
    <m/>
    <n v="20943.64"/>
    <s v=""/>
    <s v="Card"/>
    <s v="Returning"/>
    <s v=""/>
    <x v="0"/>
  </r>
  <r>
    <n v="5456"/>
    <s v="BR01"/>
    <x v="1"/>
    <d v="2024-06-14T00:00:00"/>
    <s v="S007"/>
    <x v="4"/>
    <x v="3"/>
    <s v="Soap Bar"/>
    <m/>
    <n v="8059.7"/>
    <n v="15"/>
    <s v="Card"/>
    <s v="New"/>
    <s v=""/>
    <x v="0"/>
  </r>
  <r>
    <n v="5065"/>
    <s v="BR02"/>
    <x v="0"/>
    <d v="2024-05-07T00:00:00"/>
    <s v="S001"/>
    <x v="5"/>
    <x v="3"/>
    <s v="Shampoo"/>
    <n v="4"/>
    <n v="24977.31"/>
    <s v=""/>
    <s v="Transfer"/>
    <s v="New"/>
    <n v="99909.24"/>
    <x v="1"/>
  </r>
  <r>
    <n v="5097"/>
    <s v="BR02"/>
    <x v="0"/>
    <d v="2024-06-01T00:00:00"/>
    <s v="S006"/>
    <x v="0"/>
    <x v="2"/>
    <s v="Cooking Oil (1L)"/>
    <n v="5"/>
    <n v="7972.12"/>
    <s v=""/>
    <s v="Card"/>
    <s v="Returning"/>
    <n v="39860.6"/>
    <x v="0"/>
  </r>
  <r>
    <n v="5375"/>
    <s v="BR03"/>
    <x v="5"/>
    <d v="2024-09-13T00:00:00"/>
    <s v="S003"/>
    <x v="3"/>
    <x v="0"/>
    <s v="Wireless Earbuds"/>
    <n v="1"/>
    <n v="44802.54"/>
    <s v=""/>
    <s v="Card"/>
    <s v="Returning"/>
    <n v="44802.54"/>
    <x v="0"/>
  </r>
  <r>
    <n v="5005"/>
    <s v="BR02"/>
    <x v="0"/>
    <d v="2024-02-03T00:00:00"/>
    <s v="S002"/>
    <x v="1"/>
    <x v="3"/>
    <s v="Body Lotion"/>
    <n v="5"/>
    <n v="22602.03"/>
    <s v=""/>
    <s v="Card"/>
    <s v="New"/>
    <n v="113010.15"/>
    <x v="0"/>
  </r>
  <r>
    <n v="5282"/>
    <s v="BR02"/>
    <x v="0"/>
    <d v="2024-05-16T00:00:00"/>
    <s v="S003"/>
    <x v="3"/>
    <x v="2"/>
    <s v="Spaghetti Pack"/>
    <n v="3"/>
    <n v="17413.919999999998"/>
    <n v="5"/>
    <s v="Cash"/>
    <s v="Returning"/>
    <n v="49629.671999999991"/>
    <x v="1"/>
  </r>
  <r>
    <n v="5056"/>
    <s v="BR01"/>
    <x v="1"/>
    <d v="2024-05-17T00:00:00"/>
    <s v="S008"/>
    <x v="9"/>
    <x v="2"/>
    <s v="Cooking Oil (1L)"/>
    <n v="4"/>
    <n v="28103.69"/>
    <s v=""/>
    <s v="Cash"/>
    <s v="New"/>
    <n v="112414.76"/>
    <x v="0"/>
  </r>
  <r>
    <n v="5189"/>
    <s v="BR03"/>
    <x v="5"/>
    <d v="2024-08-23T00:00:00"/>
    <s v="S003"/>
    <x v="3"/>
    <x v="0"/>
    <s v="HDMI Cable"/>
    <n v="2"/>
    <n v="20149.29"/>
    <s v=""/>
    <s v="Cash"/>
    <s v="Returning"/>
    <n v="40298.58"/>
    <x v="0"/>
  </r>
  <r>
    <n v="5464"/>
    <s v="BR01"/>
    <x v="1"/>
    <d v="2024-08-17T00:00:00"/>
    <s v="S002"/>
    <x v="1"/>
    <x v="3"/>
    <s v="Deodorant"/>
    <n v="4"/>
    <s v=""/>
    <s v=""/>
    <s v="Card"/>
    <s v="New"/>
    <s v=""/>
    <x v="0"/>
  </r>
  <r>
    <n v="5121"/>
    <s v="BR02"/>
    <x v="0"/>
    <d v="2024-05-18T00:00:00"/>
    <s v="S001"/>
    <x v="5"/>
    <x v="2"/>
    <s v="Tomato Paste"/>
    <n v="2"/>
    <s v=""/>
    <n v="15"/>
    <s v="Cash"/>
    <s v="New"/>
    <s v=""/>
    <x v="1"/>
  </r>
  <r>
    <n v="5325"/>
    <s v="BR03"/>
    <x v="5"/>
    <d v="2024-02-01T00:00:00"/>
    <s v="S003"/>
    <x v="3"/>
    <x v="0"/>
    <s v="Power Bank"/>
    <n v="3"/>
    <n v="15467.23"/>
    <n v="15"/>
    <s v="Cash"/>
    <s v="New"/>
    <n v="39441.436500000003"/>
    <x v="0"/>
  </r>
  <r>
    <n v="5487"/>
    <s v="BR05"/>
    <x v="4"/>
    <d v="2024-09-07T00:00:00"/>
    <s v="S004"/>
    <x v="6"/>
    <x v="3"/>
    <s v="Shampoo"/>
    <n v="2"/>
    <n v="24278.799999999999"/>
    <s v=""/>
    <s v="Cash"/>
    <s v="New"/>
    <n v="48557.599999999999"/>
    <x v="0"/>
  </r>
  <r>
    <n v="5297"/>
    <s v="BR01"/>
    <x v="1"/>
    <d v="2024-10-07T00:00:00"/>
    <s v="S006"/>
    <x v="0"/>
    <x v="0"/>
    <s v="HDMI Cable"/>
    <n v="1"/>
    <n v="42864.9"/>
    <s v=""/>
    <s v="Cash"/>
    <s v="New"/>
    <n v="42864.9"/>
    <x v="0"/>
  </r>
  <r>
    <n v="5199"/>
    <s v="BR01"/>
    <x v="1"/>
    <d v="2024-08-28T00:00:00"/>
    <s v="S001"/>
    <x v="5"/>
    <x v="0"/>
    <s v="Bluetooth Speaker"/>
    <n v="3"/>
    <n v="30975.87"/>
    <n v="15"/>
    <s v="Card"/>
    <s v="Returning"/>
    <n v="78988.468500000003"/>
    <x v="0"/>
  </r>
  <r>
    <n v="5009"/>
    <s v="BR02"/>
    <x v="0"/>
    <d v="2024-08-13T00:00:00"/>
    <s v="S001"/>
    <x v="5"/>
    <x v="1"/>
    <s v="Kettle"/>
    <n v="4"/>
    <s v=""/>
    <n v="10"/>
    <s v="Cash"/>
    <s v="New"/>
    <s v=""/>
    <x v="1"/>
  </r>
  <r>
    <n v="5389"/>
    <s v="BR04"/>
    <x v="3"/>
    <d v="2024-05-28T00:00:00"/>
    <s v="S007"/>
    <x v="4"/>
    <x v="2"/>
    <s v="Sugar (1kg)"/>
    <n v="3"/>
    <n v="18262.87"/>
    <s v=""/>
    <s v="Transfer"/>
    <s v="New"/>
    <n v="54788.61"/>
    <x v="2"/>
  </r>
  <r>
    <n v="5430"/>
    <s v="BR01"/>
    <x v="1"/>
    <d v="2024-06-03T00:00:00"/>
    <s v="S006"/>
    <x v="0"/>
    <x v="2"/>
    <s v="Rice (5kg)"/>
    <n v="2"/>
    <s v=""/>
    <s v=""/>
    <s v="Cash"/>
    <s v="Returning"/>
    <s v=""/>
    <x v="0"/>
  </r>
  <r>
    <n v="5339"/>
    <s v="BR05"/>
    <x v="4"/>
    <d v="2024-01-30T00:00:00"/>
    <s v="S006"/>
    <x v="0"/>
    <x v="2"/>
    <s v="Spaghetti Pack"/>
    <n v="3"/>
    <s v=""/>
    <n v="10"/>
    <s v="Card"/>
    <s v="New"/>
    <s v=""/>
    <x v="1"/>
  </r>
  <r>
    <n v="5470"/>
    <s v="BR01"/>
    <x v="1"/>
    <d v="2024-05-27T00:00:00"/>
    <s v="S003"/>
    <x v="3"/>
    <x v="0"/>
    <s v="Power Bank"/>
    <m/>
    <n v="32283.11"/>
    <s v=""/>
    <s v="Card"/>
    <s v="Returning"/>
    <s v=""/>
    <x v="1"/>
  </r>
  <r>
    <n v="5048"/>
    <s v="BR03"/>
    <x v="5"/>
    <d v="2024-04-24T00:00:00"/>
    <s v="S008"/>
    <x v="9"/>
    <x v="2"/>
    <s v="Spaghetti Pack"/>
    <n v="2"/>
    <n v="10770.99"/>
    <n v="10"/>
    <s v="Transfer"/>
    <s v="Returning"/>
    <n v="19387.781999999999"/>
    <x v="1"/>
  </r>
  <r>
    <n v="5443"/>
    <s v="BR03"/>
    <x v="5"/>
    <d v="2024-05-19T00:00:00"/>
    <s v="S002"/>
    <x v="1"/>
    <x v="1"/>
    <s v="Blender"/>
    <n v="5"/>
    <n v="13720.04"/>
    <s v=""/>
    <s v="Cash"/>
    <s v="New"/>
    <n v="68600.200000000012"/>
    <x v="0"/>
  </r>
  <r>
    <n v="5303"/>
    <s v="BR04"/>
    <x v="3"/>
    <d v="2024-08-09T00:00:00"/>
    <s v="S007"/>
    <x v="4"/>
    <x v="0"/>
    <s v="Power Bank"/>
    <n v="5"/>
    <n v="35604.67"/>
    <s v=""/>
    <s v="Card"/>
    <s v="New"/>
    <n v="178023.34999999998"/>
    <x v="0"/>
  </r>
  <r>
    <n v="5494"/>
    <s v="BR01"/>
    <x v="1"/>
    <d v="2024-02-17T00:00:00"/>
    <s v="S006"/>
    <x v="0"/>
    <x v="0"/>
    <s v="Wireless Earbuds"/>
    <n v="2"/>
    <s v=""/>
    <s v=""/>
    <s v="Transfer"/>
    <s v="Returning"/>
    <s v=""/>
    <x v="0"/>
  </r>
  <r>
    <n v="5057"/>
    <s v="BR03"/>
    <x v="5"/>
    <d v="2024-04-28T00:00:00"/>
    <s v="S003"/>
    <x v="3"/>
    <x v="2"/>
    <s v="Cooking Oil (1L)"/>
    <n v="5"/>
    <s v=""/>
    <n v="0"/>
    <s v="Cash"/>
    <s v="Returning"/>
    <s v=""/>
    <x v="1"/>
  </r>
  <r>
    <n v="5070"/>
    <s v="BR01"/>
    <x v="1"/>
    <d v="2024-03-15T00:00:00"/>
    <s v="S008"/>
    <x v="9"/>
    <x v="0"/>
    <s v="HDMI Cable"/>
    <m/>
    <n v="38618.67"/>
    <n v="0"/>
    <s v="Transfer"/>
    <s v="New"/>
    <s v=""/>
    <x v="1"/>
  </r>
  <r>
    <n v="5078"/>
    <s v="BR02"/>
    <x v="0"/>
    <d v="2024-01-14T00:00:00"/>
    <s v="S006"/>
    <x v="0"/>
    <x v="2"/>
    <s v="Tomato Paste"/>
    <n v="2"/>
    <s v=""/>
    <n v="15"/>
    <s v="Card"/>
    <s v="Returning"/>
    <s v=""/>
    <x v="1"/>
  </r>
  <r>
    <n v="5106"/>
    <s v="BR02"/>
    <x v="0"/>
    <d v="2024-04-21T00:00:00"/>
    <s v="S002"/>
    <x v="1"/>
    <x v="0"/>
    <s v="Bluetooth Speaker"/>
    <n v="2"/>
    <n v="28396.83"/>
    <s v=""/>
    <s v="Card"/>
    <s v="Returning"/>
    <n v="56793.66"/>
    <x v="1"/>
  </r>
  <r>
    <n v="5437"/>
    <s v="BR01"/>
    <x v="1"/>
    <d v="2024-01-18T00:00:00"/>
    <s v="S003"/>
    <x v="3"/>
    <x v="3"/>
    <s v="Shampoo"/>
    <n v="5"/>
    <n v="1342.23"/>
    <s v=""/>
    <s v="Card"/>
    <s v="New"/>
    <n v="6711.15"/>
    <x v="2"/>
  </r>
  <r>
    <n v="5442"/>
    <s v="BR01"/>
    <x v="1"/>
    <d v="2024-06-23T00:00:00"/>
    <s v="S003"/>
    <x v="3"/>
    <x v="3"/>
    <s v="Soap Bar"/>
    <m/>
    <n v="26565.69"/>
    <n v="15"/>
    <s v="Card"/>
    <s v="Returning"/>
    <s v=""/>
    <x v="2"/>
  </r>
  <r>
    <n v="5341"/>
    <s v="BR01"/>
    <x v="1"/>
    <d v="2024-07-06T00:00:00"/>
    <s v="S001"/>
    <x v="5"/>
    <x v="0"/>
    <s v="Wireless Earbuds"/>
    <n v="2"/>
    <n v="2892.21"/>
    <n v="0"/>
    <s v="Card"/>
    <s v="Returning"/>
    <n v="5784.42"/>
    <x v="2"/>
  </r>
  <r>
    <n v="5413"/>
    <s v="BR01"/>
    <x v="1"/>
    <d v="2024-09-03T00:00:00"/>
    <s v="S005"/>
    <x v="2"/>
    <x v="3"/>
    <s v="Deodorant"/>
    <n v="3"/>
    <s v=""/>
    <s v=""/>
    <s v="Cash"/>
    <s v="Returning"/>
    <s v=""/>
    <x v="2"/>
  </r>
  <r>
    <n v="5147"/>
    <s v="BR03"/>
    <x v="5"/>
    <d v="2024-01-23T00:00:00"/>
    <s v="S005"/>
    <x v="2"/>
    <x v="0"/>
    <s v="Phone Charger"/>
    <n v="2"/>
    <n v="20517.810000000001"/>
    <n v="5"/>
    <s v="Transfer"/>
    <s v="Returning"/>
    <n v="38983.839"/>
    <x v="2"/>
  </r>
  <r>
    <n v="5480"/>
    <s v="BR03"/>
    <x v="5"/>
    <d v="2024-02-29T00:00:00"/>
    <s v="S002"/>
    <x v="1"/>
    <x v="2"/>
    <s v="Tomato Paste"/>
    <n v="2"/>
    <s v=""/>
    <n v="0"/>
    <s v="Cash"/>
    <s v="New"/>
    <s v=""/>
    <x v="0"/>
  </r>
  <r>
    <n v="5500"/>
    <s v="BR04"/>
    <x v="3"/>
    <d v="2024-06-02T00:00:00"/>
    <s v="S006"/>
    <x v="0"/>
    <x v="3"/>
    <s v="Toothpaste"/>
    <m/>
    <n v="42248.05"/>
    <s v=""/>
    <s v="Card"/>
    <s v="New"/>
    <s v=""/>
    <x v="2"/>
  </r>
  <r>
    <n v="5096"/>
    <s v="BR03"/>
    <x v="5"/>
    <d v="2024-02-21T00:00:00"/>
    <s v="S006"/>
    <x v="0"/>
    <x v="2"/>
    <s v="Sugar (1kg)"/>
    <m/>
    <n v="26419.26"/>
    <n v="10"/>
    <s v="Cash"/>
    <s v="New"/>
    <s v=""/>
    <x v="1"/>
  </r>
  <r>
    <n v="5279"/>
    <s v="BR01"/>
    <x v="1"/>
    <d v="2024-08-16T00:00:00"/>
    <s v="S002"/>
    <x v="1"/>
    <x v="3"/>
    <s v="Toothpaste"/>
    <n v="4"/>
    <n v="3763.73"/>
    <s v=""/>
    <s v="Card"/>
    <s v="Returning"/>
    <n v="15054.92"/>
    <x v="1"/>
  </r>
  <r>
    <n v="5093"/>
    <s v="BR04"/>
    <x v="3"/>
    <d v="2024-07-19T00:00:00"/>
    <s v="S002"/>
    <x v="1"/>
    <x v="1"/>
    <s v="Storage Containers"/>
    <m/>
    <n v="16169.56"/>
    <n v="0"/>
    <s v="Transfer"/>
    <s v="Returning"/>
    <s v=""/>
    <x v="1"/>
  </r>
  <r>
    <n v="5030"/>
    <s v="BR02"/>
    <x v="0"/>
    <d v="2024-04-29T00:00:00"/>
    <s v="S001"/>
    <x v="5"/>
    <x v="0"/>
    <s v="HDMI Cable"/>
    <n v="2"/>
    <s v=""/>
    <n v="10"/>
    <s v="Cash"/>
    <s v="New"/>
    <s v=""/>
    <x v="0"/>
  </r>
  <r>
    <n v="5436"/>
    <s v="BR04"/>
    <x v="3"/>
    <d v="2024-04-21T00:00:00"/>
    <s v="S003"/>
    <x v="3"/>
    <x v="0"/>
    <s v="Phone Charger"/>
    <m/>
    <n v="18697.12"/>
    <s v=""/>
    <s v="Cash"/>
    <s v="Returning"/>
    <s v=""/>
    <x v="0"/>
  </r>
  <r>
    <n v="5432"/>
    <s v="BR05"/>
    <x v="4"/>
    <d v="2024-08-03T00:00:00"/>
    <s v="S001"/>
    <x v="5"/>
    <x v="3"/>
    <s v="Soap Bar"/>
    <m/>
    <n v="26200.63"/>
    <n v="5"/>
    <s v="Cash"/>
    <s v="Returning"/>
    <s v=""/>
    <x v="0"/>
  </r>
  <r>
    <n v="5098"/>
    <s v="BR02"/>
    <x v="0"/>
    <d v="2024-03-14T00:00:00"/>
    <s v="S008"/>
    <x v="9"/>
    <x v="0"/>
    <s v="Phone Charger"/>
    <n v="4"/>
    <s v=""/>
    <s v=""/>
    <s v="Card"/>
    <s v="Returning"/>
    <s v=""/>
    <x v="0"/>
  </r>
  <r>
    <n v="5146"/>
    <s v="BR02"/>
    <x v="0"/>
    <d v="2024-06-14T00:00:00"/>
    <s v="S002"/>
    <x v="1"/>
    <x v="0"/>
    <s v="Wireless Earbuds"/>
    <n v="5"/>
    <s v=""/>
    <s v=""/>
    <s v="Card"/>
    <s v="Returning"/>
    <s v=""/>
    <x v="1"/>
  </r>
  <r>
    <n v="5411"/>
    <s v="BR05"/>
    <x v="4"/>
    <d v="2024-02-09T00:00:00"/>
    <s v="S001"/>
    <x v="5"/>
    <x v="2"/>
    <s v="Rice (5kg)"/>
    <n v="1"/>
    <n v="40070.51"/>
    <n v="15"/>
    <s v="Card"/>
    <s v="Returning"/>
    <n v="34059.933499999999"/>
    <x v="1"/>
  </r>
  <r>
    <n v="5183"/>
    <s v="BR02"/>
    <x v="0"/>
    <d v="2024-07-03T00:00:00"/>
    <s v="S001"/>
    <x v="5"/>
    <x v="2"/>
    <s v="Rice (5kg)"/>
    <n v="2"/>
    <n v="40231.339999999997"/>
    <n v="5"/>
    <s v="Cash"/>
    <s v="Returning"/>
    <n v="76439.545999999988"/>
    <x v="1"/>
  </r>
  <r>
    <n v="5447"/>
    <s v="BR05"/>
    <x v="4"/>
    <d v="2024-03-18T00:00:00"/>
    <s v="S002"/>
    <x v="1"/>
    <x v="3"/>
    <s v="Soap Bar"/>
    <m/>
    <n v="41475.599999999999"/>
    <s v=""/>
    <s v="Cash"/>
    <s v="Returning"/>
    <s v=""/>
    <x v="1"/>
  </r>
  <r>
    <n v="5062"/>
    <s v="BR01"/>
    <x v="1"/>
    <d v="2024-07-22T00:00:00"/>
    <s v="S007"/>
    <x v="4"/>
    <x v="0"/>
    <s v="Wireless Earbuds"/>
    <n v="3"/>
    <n v="21010.33"/>
    <n v="10"/>
    <s v="Card"/>
    <s v="New"/>
    <n v="56727.891000000003"/>
    <x v="0"/>
  </r>
  <r>
    <n v="5015"/>
    <s v="BR04"/>
    <x v="3"/>
    <d v="2024-03-20T00:00:00"/>
    <s v="S002"/>
    <x v="1"/>
    <x v="2"/>
    <s v="Cooking Oil (1L)"/>
    <n v="1"/>
    <n v="7226.21"/>
    <s v=""/>
    <s v="Transfer"/>
    <s v="Returning"/>
    <n v="7226.21"/>
    <x v="0"/>
  </r>
  <r>
    <n v="5228"/>
    <s v="BR05"/>
    <x v="4"/>
    <d v="2024-09-09T00:00:00"/>
    <s v="S005"/>
    <x v="2"/>
    <x v="0"/>
    <s v="Wireless Earbuds"/>
    <n v="3"/>
    <n v="33906.83"/>
    <n v="5"/>
    <s v="Transfer"/>
    <s v="Returning"/>
    <n v="96634.465500000006"/>
    <x v="1"/>
  </r>
  <r>
    <n v="5458"/>
    <s v="BR03"/>
    <x v="5"/>
    <d v="2024-05-12T00:00:00"/>
    <s v="S001"/>
    <x v="5"/>
    <x v="0"/>
    <s v="Bluetooth Speaker"/>
    <m/>
    <n v="14463.62"/>
    <n v="10"/>
    <s v="Cash"/>
    <s v="New"/>
    <s v=""/>
    <x v="0"/>
  </r>
  <r>
    <n v="5438"/>
    <s v="BR05"/>
    <x v="4"/>
    <d v="2024-04-18T00:00:00"/>
    <s v="S005"/>
    <x v="2"/>
    <x v="2"/>
    <s v="Sugar (1kg)"/>
    <n v="5"/>
    <n v="30930.46"/>
    <n v="0"/>
    <s v="Cash"/>
    <s v="Returning"/>
    <n v="154652.29999999999"/>
    <x v="0"/>
  </r>
  <r>
    <n v="5462"/>
    <s v="BR04"/>
    <x v="3"/>
    <d v="2024-03-30T00:00:00"/>
    <s v="S007"/>
    <x v="4"/>
    <x v="3"/>
    <s v="Deodorant"/>
    <m/>
    <n v="4611.1000000000004"/>
    <n v="5"/>
    <s v="Cash"/>
    <s v="Returning"/>
    <s v=""/>
    <x v="2"/>
  </r>
  <r>
    <n v="5311"/>
    <s v="BR04"/>
    <x v="3"/>
    <d v="2024-01-03T00:00:00"/>
    <s v="S001"/>
    <x v="5"/>
    <x v="0"/>
    <s v="Bluetooth Speaker"/>
    <m/>
    <s v=""/>
    <s v=""/>
    <s v="Cash"/>
    <s v="New"/>
    <s v=""/>
    <x v="1"/>
  </r>
  <r>
    <n v="5079"/>
    <s v="BR02"/>
    <x v="0"/>
    <d v="2024-06-25T00:00:00"/>
    <s v="S004"/>
    <x v="6"/>
    <x v="1"/>
    <s v="Kettle"/>
    <n v="5"/>
    <n v="41030.14"/>
    <n v="10"/>
    <s v="Card"/>
    <s v="Returning"/>
    <n v="184635.63"/>
    <x v="1"/>
  </r>
  <r>
    <n v="5485"/>
    <s v="BR04"/>
    <x v="3"/>
    <d v="2024-02-14T00:00:00"/>
    <s v="S003"/>
    <x v="3"/>
    <x v="1"/>
    <s v="Storage Containers"/>
    <n v="4"/>
    <s v=""/>
    <s v=""/>
    <s v="Card"/>
    <s v="Returning"/>
    <s v=""/>
    <x v="1"/>
  </r>
  <r>
    <n v="5334"/>
    <s v="BR02"/>
    <x v="0"/>
    <d v="2024-01-08T00:00:00"/>
    <s v="S003"/>
    <x v="3"/>
    <x v="0"/>
    <s v="Phone Charger"/>
    <n v="1"/>
    <n v="7621.58"/>
    <s v=""/>
    <s v="Transfer"/>
    <s v="Returning"/>
    <n v="7621.58"/>
    <x v="0"/>
  </r>
  <r>
    <n v="5243"/>
    <s v="BR03"/>
    <x v="5"/>
    <d v="2024-07-15T00:00:00"/>
    <s v="S004"/>
    <x v="6"/>
    <x v="0"/>
    <s v="HDMI Cable"/>
    <m/>
    <s v=""/>
    <n v="0"/>
    <s v="Card"/>
    <s v="Returning"/>
    <s v=""/>
    <x v="0"/>
  </r>
  <r>
    <n v="5193"/>
    <s v="BR04"/>
    <x v="3"/>
    <d v="2024-06-29T00:00:00"/>
    <s v="S003"/>
    <x v="3"/>
    <x v="3"/>
    <s v="Shampoo"/>
    <n v="2"/>
    <s v=""/>
    <n v="0"/>
    <s v="Card"/>
    <s v="Returning"/>
    <s v=""/>
    <x v="0"/>
  </r>
  <r>
    <n v="5441"/>
    <s v="BR04"/>
    <x v="3"/>
    <d v="2024-01-28T00:00:00"/>
    <s v="S005"/>
    <x v="2"/>
    <x v="0"/>
    <s v="Power Bank"/>
    <n v="3"/>
    <n v="24975.85"/>
    <n v="0"/>
    <s v="Cash"/>
    <s v="Returning"/>
    <n v="74927.549999999988"/>
    <x v="0"/>
  </r>
  <r>
    <n v="5029"/>
    <s v="BR03"/>
    <x v="5"/>
    <d v="2024-02-12T00:00:00"/>
    <s v="S100"/>
    <x v="8"/>
    <x v="3"/>
    <s v="Soap Bar"/>
    <n v="1"/>
    <n v="43472.17"/>
    <n v="5"/>
    <s v="Card"/>
    <s v="New"/>
    <n v="41298.561499999996"/>
    <x v="0"/>
  </r>
  <r>
    <n v="5153"/>
    <s v="BR02"/>
    <x v="0"/>
    <d v="2024-02-14T00:00:00"/>
    <s v="S002"/>
    <x v="1"/>
    <x v="0"/>
    <s v="Phone Charger"/>
    <m/>
    <n v="34842.620000000003"/>
    <n v="0"/>
    <s v="Card"/>
    <s v="Returning"/>
    <s v=""/>
    <x v="0"/>
  </r>
  <r>
    <n v="5043"/>
    <s v="BR03"/>
    <x v="5"/>
    <d v="2024-01-12T00:00:00"/>
    <s v="S006"/>
    <x v="0"/>
    <x v="2"/>
    <s v="Sugar (1kg)"/>
    <n v="2"/>
    <s v=""/>
    <n v="15"/>
    <s v="Transfer"/>
    <s v="Returning"/>
    <s v=""/>
    <x v="0"/>
  </r>
  <r>
    <n v="5209"/>
    <s v="BR01"/>
    <x v="1"/>
    <d v="2024-03-12T00:00:00"/>
    <s v="S004"/>
    <x v="6"/>
    <x v="1"/>
    <s v="Non-stick Pan"/>
    <n v="2"/>
    <n v="32142.16"/>
    <s v=""/>
    <s v="Transfer"/>
    <s v="Returning"/>
    <n v="64284.32"/>
    <x v="1"/>
  </r>
  <r>
    <n v="5221"/>
    <s v="BR03"/>
    <x v="5"/>
    <d v="2024-02-24T00:00:00"/>
    <s v="S003"/>
    <x v="3"/>
    <x v="3"/>
    <s v="Toothpaste"/>
    <n v="1"/>
    <s v=""/>
    <n v="0"/>
    <s v="Card"/>
    <s v="New"/>
    <s v=""/>
    <x v="1"/>
  </r>
  <r>
    <n v="5240"/>
    <s v="BR03"/>
    <x v="5"/>
    <d v="2024-02-19T00:00:00"/>
    <s v="S001"/>
    <x v="5"/>
    <x v="0"/>
    <s v="Phone Charger"/>
    <n v="5"/>
    <n v="14098.6"/>
    <n v="0"/>
    <s v="Cash"/>
    <s v="New"/>
    <n v="70493"/>
    <x v="1"/>
  </r>
  <r>
    <n v="5266"/>
    <s v="BR02"/>
    <x v="0"/>
    <d v="2024-06-20T00:00:00"/>
    <s v="S002"/>
    <x v="1"/>
    <x v="1"/>
    <s v="Blender"/>
    <n v="2"/>
    <n v="1866.03"/>
    <n v="10"/>
    <s v="Cash"/>
    <s v="Returning"/>
    <n v="3358.8539999999998"/>
    <x v="0"/>
  </r>
  <r>
    <n v="5086"/>
    <s v="BR05"/>
    <x v="4"/>
    <d v="2024-01-05T00:00:00"/>
    <s v="S008"/>
    <x v="9"/>
    <x v="3"/>
    <s v="Toothpaste"/>
    <m/>
    <n v="34917.870000000003"/>
    <n v="0"/>
    <s v="Transfer"/>
    <s v="Returning"/>
    <s v=""/>
    <x v="0"/>
  </r>
  <r>
    <n v="5292"/>
    <s v="BR03"/>
    <x v="5"/>
    <d v="2024-08-02T00:00:00"/>
    <s v="S002"/>
    <x v="1"/>
    <x v="0"/>
    <s v="Wireless Earbuds"/>
    <n v="4"/>
    <n v="22016.98"/>
    <n v="15"/>
    <s v="Cash"/>
    <s v="Returning"/>
    <n v="74857.732000000004"/>
    <x v="0"/>
  </r>
  <r>
    <n v="5254"/>
    <s v="BR01"/>
    <x v="1"/>
    <d v="2024-01-03T00:00:00"/>
    <s v="S004"/>
    <x v="6"/>
    <x v="1"/>
    <s v="Storage Containers"/>
    <n v="1"/>
    <n v="40951.69"/>
    <s v=""/>
    <s v="Cash"/>
    <s v="Returning"/>
    <n v="40951.69"/>
    <x v="1"/>
  </r>
  <r>
    <n v="5381"/>
    <s v="BR05"/>
    <x v="4"/>
    <d v="2024-04-27T00:00:00"/>
    <s v="S100"/>
    <x v="8"/>
    <x v="3"/>
    <s v="Body Lotion"/>
    <m/>
    <s v=""/>
    <s v=""/>
    <s v="Card"/>
    <s v="Returning"/>
    <s v=""/>
    <x v="0"/>
  </r>
  <r>
    <n v="5260"/>
    <s v="BR01"/>
    <x v="1"/>
    <d v="2024-01-15T00:00:00"/>
    <s v="S003"/>
    <x v="3"/>
    <x v="1"/>
    <s v="Non-stick Pan"/>
    <n v="3"/>
    <n v="20157.38"/>
    <s v=""/>
    <s v="Cash"/>
    <s v="Returning"/>
    <n v="60472.14"/>
    <x v="0"/>
  </r>
  <r>
    <n v="5069"/>
    <s v="BR05"/>
    <x v="4"/>
    <d v="2024-05-15T00:00:00"/>
    <s v="S005"/>
    <x v="2"/>
    <x v="2"/>
    <s v="Spaghetti Pack"/>
    <n v="2"/>
    <n v="8603.2900000000009"/>
    <s v=""/>
    <s v="Cash"/>
    <s v="Returning"/>
    <n v="17206.580000000002"/>
    <x v="1"/>
  </r>
  <r>
    <n v="5368"/>
    <s v="BR02"/>
    <x v="0"/>
    <d v="2024-02-22T00:00:00"/>
    <s v="S004"/>
    <x v="6"/>
    <x v="1"/>
    <s v="Kettle"/>
    <n v="1"/>
    <n v="1244.1300000000001"/>
    <n v="15"/>
    <s v="Card"/>
    <s v="Returning"/>
    <n v="1057.5105000000001"/>
    <x v="0"/>
  </r>
  <r>
    <n v="5354"/>
    <s v="BR01"/>
    <x v="1"/>
    <d v="2024-02-28T00:00:00"/>
    <s v="S007"/>
    <x v="4"/>
    <x v="1"/>
    <s v="Kettle"/>
    <m/>
    <n v="15979.18"/>
    <n v="10"/>
    <s v="Card"/>
    <s v="Returning"/>
    <s v=""/>
    <x v="0"/>
  </r>
  <r>
    <n v="5160"/>
    <s v="BR01"/>
    <x v="1"/>
    <d v="2024-08-15T00:00:00"/>
    <s v="S007"/>
    <x v="4"/>
    <x v="0"/>
    <s v="Power Bank"/>
    <n v="2"/>
    <s v=""/>
    <n v="5"/>
    <s v="Cash"/>
    <s v="New"/>
    <s v=""/>
    <x v="1"/>
  </r>
  <r>
    <n v="5345"/>
    <s v="BR05"/>
    <x v="4"/>
    <d v="2024-07-02T00:00:00"/>
    <s v="S007"/>
    <x v="4"/>
    <x v="3"/>
    <s v="Body Lotion"/>
    <m/>
    <n v="1916.95"/>
    <s v=""/>
    <s v="Cash"/>
    <s v="Returning"/>
    <s v=""/>
    <x v="0"/>
  </r>
  <r>
    <n v="5047"/>
    <s v="BR12"/>
    <x v="7"/>
    <d v="2024-07-04T00:00:00"/>
    <s v="S007"/>
    <x v="4"/>
    <x v="0"/>
    <s v="HDMI Cable"/>
    <n v="4"/>
    <n v="41669.660000000003"/>
    <s v=""/>
    <s v="Cash"/>
    <s v="Returning"/>
    <n v="166678.64000000001"/>
    <x v="0"/>
  </r>
  <r>
    <n v="5321"/>
    <s v="BR01"/>
    <x v="1"/>
    <d v="2024-05-21T00:00:00"/>
    <s v="S002"/>
    <x v="1"/>
    <x v="1"/>
    <s v="Blender"/>
    <n v="4"/>
    <s v=""/>
    <s v=""/>
    <s v="Card"/>
    <s v="New"/>
    <s v=""/>
    <x v="0"/>
  </r>
  <r>
    <n v="5169"/>
    <s v="BR03"/>
    <x v="5"/>
    <d v="2024-03-16T00:00:00"/>
    <s v="S006"/>
    <x v="0"/>
    <x v="1"/>
    <s v="Cutlery Set"/>
    <n v="3"/>
    <n v="24102.98"/>
    <n v="5"/>
    <s v="Transfer"/>
    <s v="Returning"/>
    <n v="68693.493000000002"/>
    <x v="1"/>
  </r>
  <r>
    <n v="5011"/>
    <s v="BR04"/>
    <x v="3"/>
    <d v="2024-07-04T00:00:00"/>
    <s v="S005"/>
    <x v="2"/>
    <x v="0"/>
    <s v="Power Bank"/>
    <n v="3"/>
    <n v="33445.629999999997"/>
    <s v=""/>
    <s v="Card"/>
    <s v="New"/>
    <n v="100336.88999999998"/>
    <x v="1"/>
  </r>
  <r>
    <n v="5383"/>
    <s v="BR02"/>
    <x v="0"/>
    <d v="2024-02-23T00:00:00"/>
    <s v="S100"/>
    <x v="8"/>
    <x v="2"/>
    <s v="Spaghetti Pack"/>
    <n v="5"/>
    <n v="41865.11"/>
    <s v=""/>
    <s v="Card"/>
    <s v="New"/>
    <n v="209325.55"/>
    <x v="0"/>
  </r>
  <r>
    <n v="5409"/>
    <s v="BR02"/>
    <x v="0"/>
    <d v="2024-06-06T00:00:00"/>
    <s v="S007"/>
    <x v="4"/>
    <x v="3"/>
    <s v="Soap Bar"/>
    <m/>
    <n v="42558.93"/>
    <n v="15"/>
    <s v="Card"/>
    <s v="New"/>
    <s v=""/>
    <x v="1"/>
  </r>
  <r>
    <n v="5090"/>
    <s v="BR04"/>
    <x v="3"/>
    <d v="2024-07-28T00:00:00"/>
    <s v="S002"/>
    <x v="1"/>
    <x v="1"/>
    <s v="Cutlery Set"/>
    <m/>
    <s v=""/>
    <n v="15"/>
    <s v="Transfer"/>
    <s v="New"/>
    <s v=""/>
    <x v="1"/>
  </r>
  <r>
    <n v="5215"/>
    <s v="BR01"/>
    <x v="1"/>
    <d v="2024-04-29T00:00:00"/>
    <s v="S005"/>
    <x v="2"/>
    <x v="1"/>
    <s v="Storage Containers"/>
    <n v="1"/>
    <n v="41611.58"/>
    <s v=""/>
    <s v="Transfer"/>
    <s v="New"/>
    <n v="41611.58"/>
    <x v="2"/>
  </r>
  <r>
    <n v="5207"/>
    <s v="BR04"/>
    <x v="3"/>
    <d v="2024-08-13T00:00:00"/>
    <s v="S008"/>
    <x v="9"/>
    <x v="0"/>
    <s v="Wireless Earbuds"/>
    <n v="4"/>
    <s v=""/>
    <n v="15"/>
    <s v="Transfer"/>
    <s v="New"/>
    <s v=""/>
    <x v="1"/>
  </r>
  <r>
    <n v="5219"/>
    <s v="BR01"/>
    <x v="1"/>
    <d v="2024-07-05T00:00:00"/>
    <s v="S001"/>
    <x v="5"/>
    <x v="3"/>
    <s v="Toothpaste"/>
    <m/>
    <n v="13851.08"/>
    <n v="15"/>
    <s v="Transfer"/>
    <s v="New"/>
    <s v=""/>
    <x v="0"/>
  </r>
  <r>
    <n v="5367"/>
    <s v="BR04"/>
    <x v="3"/>
    <d v="2024-03-04T00:00:00"/>
    <s v="S002"/>
    <x v="1"/>
    <x v="2"/>
    <s v="Tomato Paste"/>
    <n v="2"/>
    <s v=""/>
    <n v="15"/>
    <s v="Cash"/>
    <s v="New"/>
    <s v=""/>
    <x v="1"/>
  </r>
  <r>
    <n v="5072"/>
    <s v="BR04"/>
    <x v="3"/>
    <d v="2024-09-24T00:00:00"/>
    <s v="S001"/>
    <x v="5"/>
    <x v="2"/>
    <s v="Tomato Paste"/>
    <m/>
    <s v=""/>
    <s v=""/>
    <s v="Cash"/>
    <s v="New"/>
    <s v=""/>
    <x v="1"/>
  </r>
  <r>
    <n v="5134"/>
    <s v="BR02"/>
    <x v="0"/>
    <d v="2024-02-14T00:00:00"/>
    <s v="S005"/>
    <x v="2"/>
    <x v="0"/>
    <s v="Bluetooth Speaker"/>
    <n v="2"/>
    <n v="20078.98"/>
    <n v="15"/>
    <s v="Cash"/>
    <s v="New"/>
    <n v="34134.266000000003"/>
    <x v="1"/>
  </r>
  <r>
    <n v="5161"/>
    <s v="BR03"/>
    <x v="5"/>
    <d v="2024-07-26T00:00:00"/>
    <s v="S003"/>
    <x v="3"/>
    <x v="2"/>
    <s v="Spaghetti Pack"/>
    <n v="1"/>
    <n v="24897.58"/>
    <s v=""/>
    <s v="Card"/>
    <s v="Returning"/>
    <n v="24897.58"/>
    <x v="0"/>
  </r>
  <r>
    <n v="5358"/>
    <s v="BR02"/>
    <x v="0"/>
    <d v="2024-05-28T00:00:00"/>
    <s v="S003"/>
    <x v="3"/>
    <x v="2"/>
    <s v="Spaghetti Pack"/>
    <n v="5"/>
    <n v="6559.19"/>
    <s v=""/>
    <s v="Card"/>
    <s v="Returning"/>
    <n v="32795.949999999997"/>
    <x v="0"/>
  </r>
  <r>
    <n v="5396"/>
    <s v="BR01"/>
    <x v="1"/>
    <d v="2024-07-23T00:00:00"/>
    <s v="S004"/>
    <x v="6"/>
    <x v="3"/>
    <s v="Soap Bar"/>
    <n v="1"/>
    <n v="13670.57"/>
    <n v="0"/>
    <s v="Cash"/>
    <s v="Returning"/>
    <n v="13670.57"/>
    <x v="1"/>
  </r>
  <r>
    <n v="5499"/>
    <s v="BR02"/>
    <x v="0"/>
    <d v="2024-01-15T00:00:00"/>
    <s v="S005"/>
    <x v="2"/>
    <x v="3"/>
    <s v="Soap Bar"/>
    <n v="4"/>
    <s v=""/>
    <n v="10"/>
    <s v="Cash"/>
    <s v="New"/>
    <s v=""/>
    <x v="1"/>
  </r>
  <r>
    <n v="5327"/>
    <s v="BR04"/>
    <x v="3"/>
    <d v="2024-07-07T00:00:00"/>
    <s v="S005"/>
    <x v="2"/>
    <x v="2"/>
    <s v="Sugar (1kg)"/>
    <n v="5"/>
    <n v="14662.42"/>
    <n v="15"/>
    <s v="Transfer"/>
    <s v="Returning"/>
    <n v="62315.285000000003"/>
    <x v="0"/>
  </r>
  <r>
    <n v="5288"/>
    <s v="BR01"/>
    <x v="1"/>
    <d v="2024-08-29T00:00:00"/>
    <s v="S002"/>
    <x v="1"/>
    <x v="1"/>
    <s v="Non-stick Pan"/>
    <n v="2"/>
    <s v=""/>
    <s v=""/>
    <s v="Cash"/>
    <s v="Returning"/>
    <s v=""/>
    <x v="1"/>
  </r>
  <r>
    <n v="5108"/>
    <s v="BR03"/>
    <x v="5"/>
    <d v="2024-03-25T00:00:00"/>
    <s v="S001"/>
    <x v="5"/>
    <x v="0"/>
    <s v="Wireless Earbuds"/>
    <m/>
    <s v=""/>
    <n v="0"/>
    <s v="Cash"/>
    <s v="Returning"/>
    <s v=""/>
    <x v="1"/>
  </r>
  <r>
    <n v="5229"/>
    <s v="BR01"/>
    <x v="1"/>
    <d v="2024-01-03T00:00:00"/>
    <s v="S007"/>
    <x v="4"/>
    <x v="3"/>
    <s v="Deodorant"/>
    <n v="1"/>
    <n v="10661.44"/>
    <s v=""/>
    <s v="Transfer"/>
    <s v="Returning"/>
    <n v="10661.44"/>
    <x v="0"/>
  </r>
  <r>
    <n v="5067"/>
    <s v="BR03"/>
    <x v="5"/>
    <d v="2024-03-10T00:00:00"/>
    <s v="S008"/>
    <x v="9"/>
    <x v="0"/>
    <s v="Wireless Earbuds"/>
    <n v="1"/>
    <n v="41534.61"/>
    <n v="10"/>
    <s v="Card"/>
    <s v="Returning"/>
    <n v="37381.148999999998"/>
    <x v="0"/>
  </r>
  <r>
    <n v="5344"/>
    <s v="BR03"/>
    <x v="5"/>
    <d v="2024-03-01T00:00:00"/>
    <s v="S004"/>
    <x v="6"/>
    <x v="3"/>
    <s v="Soap Bar"/>
    <n v="1"/>
    <n v="19135.75"/>
    <n v="10"/>
    <s v="Card"/>
    <s v="New"/>
    <n v="17222.174999999999"/>
    <x v="0"/>
  </r>
  <r>
    <n v="5276"/>
    <s v="BR02"/>
    <x v="0"/>
    <d v="2024-03-23T00:00:00"/>
    <s v="S004"/>
    <x v="6"/>
    <x v="3"/>
    <s v="Deodorant"/>
    <n v="3"/>
    <s v=""/>
    <s v=""/>
    <s v="Card"/>
    <s v="Returning"/>
    <s v=""/>
    <x v="0"/>
  </r>
  <r>
    <n v="5332"/>
    <s v="BR02"/>
    <x v="0"/>
    <d v="2024-08-05T00:00:00"/>
    <s v="S002"/>
    <x v="1"/>
    <x v="3"/>
    <s v="Soap Bar"/>
    <n v="5"/>
    <s v=""/>
    <n v="15"/>
    <s v="Card"/>
    <s v="New"/>
    <s v=""/>
    <x v="1"/>
  </r>
  <r>
    <n v="5259"/>
    <s v="BR05"/>
    <x v="4"/>
    <d v="2024-04-17T00:00:00"/>
    <s v="S004"/>
    <x v="6"/>
    <x v="0"/>
    <s v="Wireless Earbuds"/>
    <n v="1"/>
    <n v="30888.02"/>
    <s v=""/>
    <s v="Transfer"/>
    <s v="Returning"/>
    <n v="30888.02"/>
    <x v="0"/>
  </r>
  <r>
    <n v="5105"/>
    <s v="BR01"/>
    <x v="1"/>
    <d v="2024-01-08T00:00:00"/>
    <s v="SXXX"/>
    <x v="10"/>
    <x v="0"/>
    <s v="Bluetooth Speaker"/>
    <n v="1"/>
    <s v=""/>
    <s v=""/>
    <s v="Transfer"/>
    <s v="Returning"/>
    <s v=""/>
    <x v="1"/>
  </r>
  <r>
    <n v="5188"/>
    <s v="BR12"/>
    <x v="7"/>
    <d v="2024-04-03T00:00:00"/>
    <s v="S006"/>
    <x v="0"/>
    <x v="2"/>
    <s v="Cooking Oil (1L)"/>
    <n v="1"/>
    <n v="42194.29"/>
    <n v="10"/>
    <s v="Card"/>
    <s v="Returning"/>
    <n v="37974.861000000004"/>
    <x v="1"/>
  </r>
  <r>
    <n v="5365"/>
    <s v="BR04"/>
    <x v="3"/>
    <d v="2024-06-27T00:00:00"/>
    <s v="S003"/>
    <x v="3"/>
    <x v="1"/>
    <s v="Cutlery Set"/>
    <n v="5"/>
    <n v="9827.9599999999991"/>
    <n v="0"/>
    <s v="Card"/>
    <s v="New"/>
    <n v="49139.799999999996"/>
    <x v="0"/>
  </r>
  <r>
    <n v="5395"/>
    <s v="BR04"/>
    <x v="3"/>
    <d v="2024-03-08T00:00:00"/>
    <s v="S007"/>
    <x v="4"/>
    <x v="0"/>
    <s v="Bluetooth Speaker"/>
    <n v="5"/>
    <s v=""/>
    <s v=""/>
    <s v="Cash"/>
    <s v="New"/>
    <s v=""/>
    <x v="1"/>
  </r>
  <r>
    <n v="5273"/>
    <s v="BR04"/>
    <x v="3"/>
    <d v="2024-03-15T00:00:00"/>
    <s v="S001"/>
    <x v="5"/>
    <x v="0"/>
    <s v="Bluetooth Speaker"/>
    <n v="1"/>
    <s v=""/>
    <s v=""/>
    <s v="Card"/>
    <s v="Returning"/>
    <s v=""/>
    <x v="0"/>
  </r>
  <r>
    <n v="5022"/>
    <s v="BR05"/>
    <x v="4"/>
    <d v="2024-09-21T00:00:00"/>
    <s v="S004"/>
    <x v="6"/>
    <x v="3"/>
    <s v="Body Lotion"/>
    <n v="3"/>
    <s v=""/>
    <s v=""/>
    <s v="Card"/>
    <s v="Returning"/>
    <s v=""/>
    <x v="0"/>
  </r>
  <r>
    <n v="5130"/>
    <s v="BR01"/>
    <x v="1"/>
    <d v="2024-03-25T00:00:00"/>
    <s v="S005"/>
    <x v="2"/>
    <x v="0"/>
    <s v="Wireless Earbuds"/>
    <n v="2"/>
    <n v="24601.1"/>
    <n v="5"/>
    <s v="Transfer"/>
    <s v="Returning"/>
    <n v="46742.09"/>
    <x v="0"/>
  </r>
  <r>
    <n v="5136"/>
    <s v="BR05"/>
    <x v="4"/>
    <d v="2024-01-12T00:00:00"/>
    <s v="S007"/>
    <x v="4"/>
    <x v="0"/>
    <s v="HDMI Cable"/>
    <n v="2"/>
    <n v="14915.89"/>
    <n v="0"/>
    <s v="Cash"/>
    <s v="New"/>
    <n v="29831.78"/>
    <x v="1"/>
  </r>
  <r>
    <n v="5412"/>
    <s v="BR02"/>
    <x v="0"/>
    <d v="2024-01-23T00:00:00"/>
    <s v="S007"/>
    <x v="4"/>
    <x v="2"/>
    <s v="Sugar (1kg)"/>
    <n v="3"/>
    <n v="16585.37"/>
    <s v=""/>
    <s v="Transfer"/>
    <s v="New"/>
    <n v="49756.11"/>
    <x v="1"/>
  </r>
  <r>
    <n v="5452"/>
    <s v="BR02"/>
    <x v="0"/>
    <d v="2024-09-06T00:00:00"/>
    <s v="S007"/>
    <x v="4"/>
    <x v="1"/>
    <s v="Blender"/>
    <m/>
    <n v="37729.050000000003"/>
    <n v="0"/>
    <s v="Card"/>
    <s v="Returning"/>
    <s v=""/>
    <x v="2"/>
  </r>
  <r>
    <n v="5316"/>
    <s v="BR02"/>
    <x v="0"/>
    <d v="2024-04-02T00:00:00"/>
    <s v="S005"/>
    <x v="2"/>
    <x v="0"/>
    <s v="Wireless Earbuds"/>
    <n v="1"/>
    <n v="2236.04"/>
    <n v="10"/>
    <s v="Transfer"/>
    <s v="New"/>
    <n v="2012.4359999999999"/>
    <x v="1"/>
  </r>
  <r>
    <n v="5123"/>
    <s v="BR03"/>
    <x v="5"/>
    <d v="2024-01-09T00:00:00"/>
    <s v="S004"/>
    <x v="6"/>
    <x v="2"/>
    <s v="Rice (5kg)"/>
    <n v="4"/>
    <s v=""/>
    <s v=""/>
    <s v="Cash"/>
    <s v="New"/>
    <s v=""/>
    <x v="0"/>
  </r>
  <r>
    <n v="5387"/>
    <s v="BR03"/>
    <x v="5"/>
    <d v="2024-02-18T00:00:00"/>
    <s v="S004"/>
    <x v="6"/>
    <x v="1"/>
    <s v="Non-stick Pan"/>
    <n v="2"/>
    <s v=""/>
    <s v=""/>
    <s v="Transfer"/>
    <s v="Returning"/>
    <s v=""/>
    <x v="1"/>
  </r>
  <r>
    <n v="5481"/>
    <s v="BR04"/>
    <x v="3"/>
    <d v="2024-05-03T00:00:00"/>
    <s v="S003"/>
    <x v="3"/>
    <x v="2"/>
    <s v="Cooking Oil (1L)"/>
    <n v="2"/>
    <n v="28990.89"/>
    <n v="15"/>
    <s v="Card"/>
    <s v="New"/>
    <n v="49284.512999999999"/>
    <x v="1"/>
  </r>
  <r>
    <n v="5071"/>
    <s v="BR01"/>
    <x v="1"/>
    <d v="2024-04-23T00:00:00"/>
    <s v="S001"/>
    <x v="5"/>
    <x v="3"/>
    <s v="Soap Bar"/>
    <m/>
    <n v="43485.1"/>
    <s v=""/>
    <s v="Card"/>
    <s v="Returning"/>
    <s v=""/>
    <x v="1"/>
  </r>
  <r>
    <n v="5329"/>
    <s v="BR01"/>
    <x v="1"/>
    <d v="2024-06-02T00:00:00"/>
    <s v="S006"/>
    <x v="0"/>
    <x v="3"/>
    <s v="Deodorant"/>
    <m/>
    <n v="9301.61"/>
    <n v="0"/>
    <s v="Cash"/>
    <s v="Returning"/>
    <s v=""/>
    <x v="1"/>
  </r>
  <r>
    <n v="5187"/>
    <s v="BR02"/>
    <x v="0"/>
    <d v="2024-03-08T00:00:00"/>
    <s v="S008"/>
    <x v="9"/>
    <x v="0"/>
    <s v="HDMI Cable"/>
    <n v="5"/>
    <n v="43993.63"/>
    <n v="0"/>
    <s v="Card"/>
    <s v="Returning"/>
    <n v="219968.15"/>
    <x v="0"/>
  </r>
  <r>
    <n v="5206"/>
    <s v="BR04"/>
    <x v="3"/>
    <d v="2024-02-06T00:00:00"/>
    <s v="S006"/>
    <x v="0"/>
    <x v="2"/>
    <s v="Tomato Paste"/>
    <n v="2"/>
    <n v="41654.36"/>
    <n v="10"/>
    <s v="Cash"/>
    <s v="New"/>
    <n v="74977.847999999998"/>
    <x v="2"/>
  </r>
  <r>
    <n v="5113"/>
    <s v="BR01"/>
    <x v="1"/>
    <d v="2024-04-06T00:00:00"/>
    <s v="S002"/>
    <x v="1"/>
    <x v="3"/>
    <s v="Shampoo"/>
    <n v="5"/>
    <n v="23686.26"/>
    <n v="15"/>
    <s v="Card"/>
    <s v="Returning"/>
    <n v="100666.60499999998"/>
    <x v="1"/>
  </r>
  <r>
    <n v="5204"/>
    <s v="BR05"/>
    <x v="4"/>
    <d v="2024-05-10T00:00:00"/>
    <s v="S005"/>
    <x v="2"/>
    <x v="0"/>
    <s v="Phone Charger"/>
    <n v="5"/>
    <n v="12055.19"/>
    <s v=""/>
    <s v="Card"/>
    <s v="New"/>
    <n v="60275.950000000004"/>
    <x v="0"/>
  </r>
  <r>
    <n v="5475"/>
    <s v="BR01"/>
    <x v="1"/>
    <d v="2024-03-17T00:00:00"/>
    <s v="S001"/>
    <x v="5"/>
    <x v="2"/>
    <s v="Rice (5kg)"/>
    <n v="5"/>
    <s v=""/>
    <n v="15"/>
    <s v="Cash"/>
    <s v="New"/>
    <s v=""/>
    <x v="0"/>
  </r>
  <r>
    <n v="5406"/>
    <s v="BR04"/>
    <x v="3"/>
    <d v="2024-06-24T00:00:00"/>
    <s v="S005"/>
    <x v="2"/>
    <x v="1"/>
    <s v="Non-stick Pan"/>
    <m/>
    <s v=""/>
    <n v="5"/>
    <s v="Card"/>
    <s v="Returning"/>
    <s v=""/>
    <x v="0"/>
  </r>
  <r>
    <n v="5198"/>
    <s v="BR05"/>
    <x v="4"/>
    <d v="2024-07-12T00:00:00"/>
    <s v="S003"/>
    <x v="3"/>
    <x v="1"/>
    <s v="Storage Containers"/>
    <n v="2"/>
    <n v="40465.33"/>
    <s v=""/>
    <s v="Card"/>
    <s v="New"/>
    <n v="80930.66"/>
    <x v="0"/>
  </r>
  <r>
    <n v="5486"/>
    <s v="BR03"/>
    <x v="5"/>
    <d v="2024-07-03T00:00:00"/>
    <s v="S007"/>
    <x v="4"/>
    <x v="1"/>
    <s v="Kettle"/>
    <n v="1"/>
    <n v="7136.88"/>
    <n v="5"/>
    <s v="Transfer"/>
    <s v="New"/>
    <n v="6780.0360000000001"/>
    <x v="0"/>
  </r>
  <r>
    <n v="5100"/>
    <s v="BR01"/>
    <x v="1"/>
    <d v="2024-07-06T00:00:00"/>
    <s v="S006"/>
    <x v="0"/>
    <x v="0"/>
    <s v="Phone Charger"/>
    <n v="2"/>
    <n v="2008.42"/>
    <n v="0"/>
    <s v="Card"/>
    <s v="Returning"/>
    <n v="4016.84"/>
    <x v="0"/>
  </r>
  <r>
    <n v="5092"/>
    <s v="BR04"/>
    <x v="3"/>
    <d v="2024-07-01T00:00:00"/>
    <s v="S100"/>
    <x v="8"/>
    <x v="3"/>
    <s v="Deodorant"/>
    <n v="4"/>
    <s v=""/>
    <s v=""/>
    <s v="Card"/>
    <s v="Returning"/>
    <s v=""/>
    <x v="1"/>
  </r>
  <r>
    <n v="5427"/>
    <s v="BR03"/>
    <x v="5"/>
    <d v="2024-05-18T00:00:00"/>
    <s v="S007"/>
    <x v="4"/>
    <x v="3"/>
    <s v="Soap Bar"/>
    <n v="2"/>
    <n v="21028.16"/>
    <n v="5"/>
    <s v="Card"/>
    <s v="New"/>
    <n v="39953.504000000001"/>
    <x v="0"/>
  </r>
  <r>
    <n v="5237"/>
    <s v="BR04"/>
    <x v="3"/>
    <d v="2024-06-01T00:00:00"/>
    <s v="S006"/>
    <x v="0"/>
    <x v="2"/>
    <s v="Cooking Oil (1L)"/>
    <n v="1"/>
    <n v="7715.66"/>
    <s v=""/>
    <s v="Cash"/>
    <s v="New"/>
    <n v="7715.66"/>
    <x v="1"/>
  </r>
  <r>
    <n v="5234"/>
    <s v="BR04"/>
    <x v="3"/>
    <d v="2024-01-03T00:00:00"/>
    <s v="S006"/>
    <x v="0"/>
    <x v="3"/>
    <s v="Deodorant"/>
    <m/>
    <s v=""/>
    <n v="0"/>
    <s v="Card"/>
    <s v="New"/>
    <s v=""/>
    <x v="2"/>
  </r>
  <r>
    <n v="5324"/>
    <s v="BR05"/>
    <x v="4"/>
    <d v="2024-08-28T00:00:00"/>
    <s v="S007"/>
    <x v="4"/>
    <x v="2"/>
    <s v="Spaghetti Pack"/>
    <n v="1"/>
    <s v=""/>
    <n v="10"/>
    <s v="Card"/>
    <s v="New"/>
    <s v=""/>
    <x v="0"/>
  </r>
  <r>
    <n v="5119"/>
    <s v="BR04"/>
    <x v="3"/>
    <d v="2024-04-09T00:00:00"/>
    <s v="S006"/>
    <x v="0"/>
    <x v="3"/>
    <s v="Deodorant"/>
    <n v="4"/>
    <n v="17394.25"/>
    <s v=""/>
    <s v="Card"/>
    <s v="Returning"/>
    <n v="69577"/>
    <x v="0"/>
  </r>
  <r>
    <n v="5256"/>
    <s v="BR04"/>
    <x v="3"/>
    <d v="2024-01-16T00:00:00"/>
    <s v="S002"/>
    <x v="1"/>
    <x v="0"/>
    <s v="Power Bank"/>
    <n v="5"/>
    <n v="7745.37"/>
    <s v=""/>
    <s v="Transfer"/>
    <s v="New"/>
    <n v="38726.85"/>
    <x v="1"/>
  </r>
  <r>
    <n v="5014"/>
    <s v="BR02"/>
    <x v="0"/>
    <d v="2024-08-10T00:00:00"/>
    <s v="S001"/>
    <x v="5"/>
    <x v="1"/>
    <s v="Blender"/>
    <n v="1"/>
    <s v=""/>
    <s v=""/>
    <s v="Cash"/>
    <s v="Returning"/>
    <s v=""/>
    <x v="1"/>
  </r>
  <r>
    <n v="5222"/>
    <s v="BR04"/>
    <x v="3"/>
    <d v="2024-04-14T00:00:00"/>
    <s v="S002"/>
    <x v="1"/>
    <x v="3"/>
    <s v="Deodorant"/>
    <n v="5"/>
    <n v="24328.31"/>
    <n v="5"/>
    <s v="Cash"/>
    <s v="Returning"/>
    <n v="115559.4725"/>
    <x v="1"/>
  </r>
  <r>
    <n v="5426"/>
    <s v="BR01"/>
    <x v="1"/>
    <d v="2024-09-06T00:00:00"/>
    <s v="S007"/>
    <x v="4"/>
    <x v="2"/>
    <s v="Rice (5kg)"/>
    <n v="1"/>
    <n v="24019.32"/>
    <s v=""/>
    <s v="Card"/>
    <s v="New"/>
    <n v="24019.32"/>
    <x v="1"/>
  </r>
  <r>
    <n v="5468"/>
    <s v="BR05"/>
    <x v="4"/>
    <d v="2024-08-04T00:00:00"/>
    <s v="S004"/>
    <x v="6"/>
    <x v="0"/>
    <s v="Phone Charger"/>
    <n v="2"/>
    <s v=""/>
    <n v="0"/>
    <s v="Cash"/>
    <s v="New"/>
    <s v=""/>
    <x v="0"/>
  </r>
  <r>
    <n v="5461"/>
    <s v="BR02"/>
    <x v="0"/>
    <d v="2024-01-30T00:00:00"/>
    <s v="S006"/>
    <x v="0"/>
    <x v="1"/>
    <s v="Blender"/>
    <n v="5"/>
    <n v="26043.37"/>
    <s v=""/>
    <s v="Card"/>
    <s v="Returning"/>
    <n v="130216.84999999999"/>
    <x v="1"/>
  </r>
  <r>
    <n v="5052"/>
    <s v="BR04"/>
    <x v="3"/>
    <d v="2024-07-04T00:00:00"/>
    <s v="S004"/>
    <x v="6"/>
    <x v="1"/>
    <s v="Non-stick Pan"/>
    <n v="4"/>
    <n v="3284.81"/>
    <n v="5"/>
    <s v="Card"/>
    <s v="Returning"/>
    <n v="12482.278"/>
    <x v="0"/>
  </r>
  <r>
    <n v="5191"/>
    <s v="BR02"/>
    <x v="0"/>
    <d v="2024-06-02T00:00:00"/>
    <s v="S006"/>
    <x v="0"/>
    <x v="1"/>
    <s v="Blender"/>
    <n v="4"/>
    <n v="10139.11"/>
    <n v="15"/>
    <s v="Cash"/>
    <s v="Returning"/>
    <n v="34472.974000000002"/>
    <x v="1"/>
  </r>
  <r>
    <n v="5407"/>
    <s v="BR05"/>
    <x v="4"/>
    <d v="2024-03-12T00:00:00"/>
    <s v="S003"/>
    <x v="3"/>
    <x v="3"/>
    <s v="Deodorant"/>
    <n v="3"/>
    <n v="14939.81"/>
    <s v=""/>
    <s v="Transfer"/>
    <s v="Returning"/>
    <n v="44819.43"/>
    <x v="1"/>
  </r>
  <r>
    <n v="5246"/>
    <s v="BR03"/>
    <x v="5"/>
    <d v="2024-09-15T00:00:00"/>
    <s v="S004"/>
    <x v="6"/>
    <x v="2"/>
    <s v="Sugar (1kg)"/>
    <n v="2"/>
    <n v="13036.03"/>
    <n v="5"/>
    <s v="Card"/>
    <s v="New"/>
    <n v="24768.457000000002"/>
    <x v="2"/>
  </r>
  <r>
    <n v="5018"/>
    <s v="BR05"/>
    <x v="4"/>
    <d v="2024-09-04T00:00:00"/>
    <s v="S003"/>
    <x v="3"/>
    <x v="2"/>
    <s v="Cooking Oil (1L)"/>
    <m/>
    <s v=""/>
    <s v=""/>
    <s v="Card"/>
    <s v="Returning"/>
    <s v=""/>
    <x v="1"/>
  </r>
  <r>
    <n v="5087"/>
    <s v="BR03"/>
    <x v="5"/>
    <d v="2024-02-22T00:00:00"/>
    <s v="S003"/>
    <x v="3"/>
    <x v="2"/>
    <s v="Spaghetti Pack"/>
    <n v="3"/>
    <n v="7661.13"/>
    <n v="0"/>
    <s v="Card"/>
    <s v="New"/>
    <n v="22983.39"/>
    <x v="0"/>
  </r>
  <r>
    <n v="5435"/>
    <s v="BR04"/>
    <x v="3"/>
    <d v="2024-04-20T00:00:00"/>
    <s v="S004"/>
    <x v="6"/>
    <x v="2"/>
    <s v="Spaghetti Pack"/>
    <n v="5"/>
    <s v=""/>
    <n v="5"/>
    <s v="Card"/>
    <s v="Returning"/>
    <s v=""/>
    <x v="0"/>
  </r>
  <r>
    <n v="5483"/>
    <s v="BR03"/>
    <x v="5"/>
    <d v="2024-02-06T00:00:00"/>
    <s v="S003"/>
    <x v="3"/>
    <x v="0"/>
    <s v="HDMI Cable"/>
    <n v="2"/>
    <n v="7818.03"/>
    <n v="15"/>
    <s v="Transfer"/>
    <s v="New"/>
    <n v="13290.651"/>
    <x v="0"/>
  </r>
  <r>
    <n v="5172"/>
    <s v="BR01"/>
    <x v="1"/>
    <d v="2024-01-22T00:00:00"/>
    <s v="S007"/>
    <x v="4"/>
    <x v="2"/>
    <s v="Cooking Oil (1L)"/>
    <n v="1"/>
    <n v="6587.71"/>
    <n v="15"/>
    <s v="Cash"/>
    <s v="New"/>
    <n v="5599.5535"/>
    <x v="0"/>
  </r>
  <r>
    <n v="5301"/>
    <s v="BR05"/>
    <x v="4"/>
    <d v="2024-06-08T00:00:00"/>
    <s v="S001"/>
    <x v="5"/>
    <x v="2"/>
    <s v="Tomato Paste"/>
    <n v="3"/>
    <n v="36206.769999999997"/>
    <s v=""/>
    <s v="Transfer"/>
    <s v="New"/>
    <n v="108620.31"/>
    <x v="0"/>
  </r>
  <r>
    <n v="5162"/>
    <s v="BR03"/>
    <x v="5"/>
    <d v="2024-08-27T00:00:00"/>
    <s v="S004"/>
    <x v="6"/>
    <x v="0"/>
    <s v="Wireless Earbuds"/>
    <n v="3"/>
    <s v=""/>
    <n v="10"/>
    <s v="Card"/>
    <s v="New"/>
    <s v=""/>
    <x v="0"/>
  </r>
  <r>
    <n v="5120"/>
    <s v="BR02"/>
    <x v="0"/>
    <d v="2024-09-01T00:00:00"/>
    <s v="S006"/>
    <x v="0"/>
    <x v="2"/>
    <s v="Tomato Paste"/>
    <n v="4"/>
    <s v=""/>
    <n v="0"/>
    <s v="Cash"/>
    <s v="Returning"/>
    <s v=""/>
    <x v="1"/>
  </r>
  <r>
    <n v="5141"/>
    <s v="BR12"/>
    <x v="7"/>
    <d v="2024-06-28T00:00:00"/>
    <s v="S008"/>
    <x v="9"/>
    <x v="3"/>
    <s v="Soap Bar"/>
    <n v="5"/>
    <s v=""/>
    <n v="15"/>
    <s v="Transfer"/>
    <s v="New"/>
    <s v=""/>
    <x v="1"/>
  </r>
  <r>
    <n v="5233"/>
    <s v="BR04"/>
    <x v="3"/>
    <d v="2024-08-02T00:00:00"/>
    <s v="S005"/>
    <x v="2"/>
    <x v="3"/>
    <s v="Shampoo"/>
    <m/>
    <s v=""/>
    <n v="5"/>
    <s v="Cash"/>
    <s v="Returning"/>
    <s v=""/>
    <x v="0"/>
  </r>
  <r>
    <n v="5270"/>
    <s v="BR01"/>
    <x v="1"/>
    <d v="2024-02-01T00:00:00"/>
    <s v="S002"/>
    <x v="1"/>
    <x v="0"/>
    <s v="Bluetooth Speaker"/>
    <n v="4"/>
    <s v=""/>
    <n v="5"/>
    <s v="Cash"/>
    <s v="Returning"/>
    <s v=""/>
    <x v="0"/>
  </r>
  <r>
    <n v="5091"/>
    <s v="BR02"/>
    <x v="0"/>
    <d v="2024-08-21T00:00:00"/>
    <s v="S007"/>
    <x v="4"/>
    <x v="1"/>
    <s v="Non-stick Pan"/>
    <m/>
    <n v="24679.52"/>
    <s v=""/>
    <s v="Cash"/>
    <s v="New"/>
    <s v=""/>
    <x v="2"/>
  </r>
  <r>
    <n v="5356"/>
    <s v="BR02"/>
    <x v="0"/>
    <d v="2024-08-16T00:00:00"/>
    <s v="S002"/>
    <x v="1"/>
    <x v="3"/>
    <s v="Toothpaste"/>
    <n v="3"/>
    <s v=""/>
    <s v=""/>
    <s v="Cash"/>
    <s v="Returning"/>
    <s v=""/>
    <x v="1"/>
  </r>
  <r>
    <n v="5203"/>
    <s v="BR01"/>
    <x v="1"/>
    <d v="2024-09-23T00:00:00"/>
    <s v="S008"/>
    <x v="9"/>
    <x v="0"/>
    <s v="Bluetooth Speaker"/>
    <m/>
    <n v="36023.53"/>
    <n v="10"/>
    <s v="Card"/>
    <s v="New"/>
    <s v=""/>
    <x v="0"/>
  </r>
  <r>
    <n v="5212"/>
    <s v="BR03"/>
    <x v="5"/>
    <d v="2024-05-29T00:00:00"/>
    <s v="S001"/>
    <x v="5"/>
    <x v="3"/>
    <s v="Shampoo"/>
    <n v="4"/>
    <n v="42838.02"/>
    <n v="0"/>
    <s v="Cash"/>
    <s v="Returning"/>
    <n v="171352.08"/>
    <x v="0"/>
  </r>
  <r>
    <n v="5351"/>
    <s v="BR05"/>
    <x v="4"/>
    <d v="2024-06-18T00:00:00"/>
    <s v="S006"/>
    <x v="0"/>
    <x v="0"/>
    <s v="Phone Charger"/>
    <n v="2"/>
    <s v=""/>
    <n v="0"/>
    <s v="Card"/>
    <s v="New"/>
    <s v=""/>
    <x v="1"/>
  </r>
  <r>
    <n v="5357"/>
    <s v="BR02"/>
    <x v="0"/>
    <d v="2024-11-09T00:00:00"/>
    <s v="S008"/>
    <x v="9"/>
    <x v="2"/>
    <s v="Spaghetti Pack"/>
    <n v="1"/>
    <n v="1779.78"/>
    <s v=""/>
    <s v="Transfer"/>
    <s v="Returning"/>
    <n v="1779.78"/>
    <x v="1"/>
  </r>
  <r>
    <n v="5034"/>
    <s v="BR03"/>
    <x v="5"/>
    <d v="2024-05-17T00:00:00"/>
    <s v="S004"/>
    <x v="6"/>
    <x v="0"/>
    <s v="Phone Charger"/>
    <n v="3"/>
    <n v="29493.279999999999"/>
    <n v="10"/>
    <s v="Transfer"/>
    <s v="New"/>
    <n v="79631.856"/>
    <x v="0"/>
  </r>
  <r>
    <n v="5041"/>
    <s v="BR03"/>
    <x v="5"/>
    <d v="2024-08-18T00:00:00"/>
    <s v="S007"/>
    <x v="4"/>
    <x v="0"/>
    <s v="Power Bank"/>
    <n v="1"/>
    <s v=""/>
    <s v=""/>
    <s v="Cash"/>
    <s v="Returning"/>
    <s v=""/>
    <x v="0"/>
  </r>
  <r>
    <n v="5465"/>
    <s v="BR01"/>
    <x v="1"/>
    <d v="2024-07-12T00:00:00"/>
    <s v="S008"/>
    <x v="9"/>
    <x v="0"/>
    <s v="Wireless Earbuds"/>
    <m/>
    <n v="35915.47"/>
    <s v=""/>
    <s v="Transfer"/>
    <s v="Returning"/>
    <s v=""/>
    <x v="0"/>
  </r>
  <r>
    <n v="5135"/>
    <s v="BR04"/>
    <x v="3"/>
    <d v="2024-06-19T00:00:00"/>
    <s v="S004"/>
    <x v="6"/>
    <x v="1"/>
    <s v="Cutlery Set"/>
    <n v="3"/>
    <s v=""/>
    <n v="15"/>
    <s v="Cash"/>
    <s v="New"/>
    <s v=""/>
    <x v="1"/>
  </r>
  <r>
    <n v="5342"/>
    <s v="BR03"/>
    <x v="5"/>
    <d v="2024-02-28T00:00:00"/>
    <s v="S008"/>
    <x v="9"/>
    <x v="2"/>
    <s v="Rice (5kg)"/>
    <n v="5"/>
    <n v="32811.910000000003"/>
    <s v=""/>
    <s v="Cash"/>
    <s v="Returning"/>
    <n v="164059.55000000002"/>
    <x v="1"/>
  </r>
  <r>
    <n v="5144"/>
    <s v="BR05"/>
    <x v="4"/>
    <d v="2024-01-02T00:00:00"/>
    <s v="S004"/>
    <x v="6"/>
    <x v="1"/>
    <s v="Cutlery Set"/>
    <n v="5"/>
    <n v="27339.18"/>
    <s v=""/>
    <s v="Transfer"/>
    <s v="New"/>
    <n v="136695.9"/>
    <x v="2"/>
  </r>
  <r>
    <n v="5308"/>
    <s v="BR01"/>
    <x v="1"/>
    <d v="2024-03-23T00:00:00"/>
    <s v="S007"/>
    <x v="4"/>
    <x v="2"/>
    <s v="Spaghetti Pack"/>
    <m/>
    <s v=""/>
    <s v=""/>
    <s v="Cash"/>
    <s v="New"/>
    <s v=""/>
    <x v="1"/>
  </r>
  <r>
    <n v="5457"/>
    <s v="BR05"/>
    <x v="4"/>
    <d v="2024-02-27T00:00:00"/>
    <s v="S008"/>
    <x v="9"/>
    <x v="2"/>
    <s v="Cooking Oil (1L)"/>
    <m/>
    <n v="27696.7"/>
    <n v="10"/>
    <s v="Cash"/>
    <s v="New"/>
    <s v=""/>
    <x v="0"/>
  </r>
  <r>
    <n v="5272"/>
    <s v="BR05"/>
    <x v="4"/>
    <d v="2024-05-23T00:00:00"/>
    <s v="S002"/>
    <x v="1"/>
    <x v="1"/>
    <s v="Blender"/>
    <n v="4"/>
    <s v=""/>
    <s v=""/>
    <s v="Cash"/>
    <s v="New"/>
    <s v=""/>
    <x v="1"/>
  </r>
  <r>
    <n v="5163"/>
    <s v="BR02"/>
    <x v="0"/>
    <d v="2024-07-04T00:00:00"/>
    <s v="S001"/>
    <x v="5"/>
    <x v="1"/>
    <s v="Storage Containers"/>
    <m/>
    <n v="15261.77"/>
    <n v="10"/>
    <s v="Transfer"/>
    <s v="Returning"/>
    <s v=""/>
    <x v="0"/>
  </r>
  <r>
    <n v="5148"/>
    <s v="BR02"/>
    <x v="0"/>
    <d v="2024-05-04T00:00:00"/>
    <s v="S003"/>
    <x v="3"/>
    <x v="2"/>
    <s v="Spaghetti Pack"/>
    <m/>
    <s v=""/>
    <s v=""/>
    <s v="Cash"/>
    <s v="Returning"/>
    <s v=""/>
    <x v="1"/>
  </r>
  <r>
    <n v="5050"/>
    <s v="BR02"/>
    <x v="0"/>
    <d v="2024-05-23T00:00:00"/>
    <s v="S008"/>
    <x v="9"/>
    <x v="0"/>
    <s v="HDMI Cable"/>
    <n v="4"/>
    <s v=""/>
    <n v="5"/>
    <s v="Card"/>
    <s v="New"/>
    <s v=""/>
    <x v="1"/>
  </r>
  <r>
    <n v="5424"/>
    <s v="BR03"/>
    <x v="5"/>
    <d v="2024-02-22T00:00:00"/>
    <s v="S008"/>
    <x v="9"/>
    <x v="2"/>
    <s v="Cooking Oil (1L)"/>
    <n v="1"/>
    <n v="31167.72"/>
    <s v=""/>
    <s v="Card"/>
    <s v="New"/>
    <n v="31167.72"/>
    <x v="1"/>
  </r>
  <r>
    <n v="5122"/>
    <s v="BR03"/>
    <x v="5"/>
    <d v="2024-03-02T00:00:00"/>
    <s v="S002"/>
    <x v="1"/>
    <x v="3"/>
    <s v="Deodorant"/>
    <n v="1"/>
    <n v="7324.92"/>
    <s v=""/>
    <s v="Transfer"/>
    <s v="Returning"/>
    <n v="7324.92"/>
    <x v="0"/>
  </r>
  <r>
    <n v="5129"/>
    <s v="BR05"/>
    <x v="4"/>
    <d v="2024-02-18T00:00:00"/>
    <s v="SXXX"/>
    <x v="10"/>
    <x v="2"/>
    <s v="Spaghetti Pack"/>
    <m/>
    <n v="27173.22"/>
    <s v=""/>
    <s v="Transfer"/>
    <s v="New"/>
    <s v=""/>
    <x v="0"/>
  </r>
  <r>
    <n v="5421"/>
    <s v="BR05"/>
    <x v="4"/>
    <d v="2024-10-04T00:00:00"/>
    <s v="S008"/>
    <x v="9"/>
    <x v="1"/>
    <s v="Blender"/>
    <n v="2"/>
    <n v="39906.82"/>
    <n v="5"/>
    <s v="Cash"/>
    <s v="New"/>
    <n v="75822.957999999999"/>
    <x v="1"/>
  </r>
  <r>
    <n v="5388"/>
    <s v="BR02"/>
    <x v="0"/>
    <d v="2024-11-01T00:00:00"/>
    <s v="S008"/>
    <x v="9"/>
    <x v="1"/>
    <s v="Kettle"/>
    <n v="1"/>
    <n v="11454.78"/>
    <n v="0"/>
    <s v="Card"/>
    <s v="Returning"/>
    <n v="11454.78"/>
    <x v="1"/>
  </r>
  <r>
    <n v="5290"/>
    <s v="BR02"/>
    <x v="0"/>
    <d v="2024-06-07T00:00:00"/>
    <s v="S003"/>
    <x v="3"/>
    <x v="2"/>
    <s v="Spaghetti Pack"/>
    <n v="3"/>
    <s v=""/>
    <n v="15"/>
    <s v="Cash"/>
    <s v="Returning"/>
    <s v=""/>
    <x v="0"/>
  </r>
  <r>
    <n v="5347"/>
    <s v="BR05"/>
    <x v="4"/>
    <d v="2024-05-18T00:00:00"/>
    <s v="S005"/>
    <x v="2"/>
    <x v="2"/>
    <s v="Spaghetti Pack"/>
    <n v="1"/>
    <n v="32524.37"/>
    <n v="15"/>
    <s v="Card"/>
    <s v="New"/>
    <n v="27645.714499999998"/>
    <x v="1"/>
  </r>
  <r>
    <n v="5371"/>
    <s v="BR01"/>
    <x v="1"/>
    <d v="2024-07-19T00:00:00"/>
    <s v="S002"/>
    <x v="1"/>
    <x v="1"/>
    <s v="Storage Containers"/>
    <n v="2"/>
    <s v=""/>
    <s v=""/>
    <s v="Transfer"/>
    <s v="Returning"/>
    <s v=""/>
    <x v="0"/>
  </r>
  <r>
    <n v="5127"/>
    <s v="BR03"/>
    <x v="5"/>
    <d v="2024-07-14T00:00:00"/>
    <s v="S001"/>
    <x v="5"/>
    <x v="3"/>
    <s v="Soap Bar"/>
    <n v="5"/>
    <n v="3674.71"/>
    <s v=""/>
    <s v="Cash"/>
    <s v="Returning"/>
    <n v="18373.55"/>
    <x v="0"/>
  </r>
  <r>
    <n v="5020"/>
    <s v="BR05"/>
    <x v="4"/>
    <d v="2024-05-03T00:00:00"/>
    <s v="S004"/>
    <x v="6"/>
    <x v="3"/>
    <s v="Soap Bar"/>
    <n v="2"/>
    <n v="37879.99"/>
    <n v="15"/>
    <s v="Transfer"/>
    <s v="New"/>
    <n v="64395.982999999993"/>
    <x v="1"/>
  </r>
  <r>
    <n v="5269"/>
    <s v="BR02"/>
    <x v="0"/>
    <d v="2024-07-12T00:00:00"/>
    <s v="S001"/>
    <x v="5"/>
    <x v="2"/>
    <s v="Cooking Oil (1L)"/>
    <n v="4"/>
    <s v=""/>
    <n v="0"/>
    <s v="Card"/>
    <s v="New"/>
    <s v=""/>
    <x v="1"/>
  </r>
  <r>
    <n v="5377"/>
    <s v="BR04"/>
    <x v="3"/>
    <d v="2024-05-01T00:00:00"/>
    <s v="S004"/>
    <x v="6"/>
    <x v="2"/>
    <s v="Tomato Paste"/>
    <n v="5"/>
    <n v="12789.58"/>
    <n v="15"/>
    <s v="Card"/>
    <s v="New"/>
    <n v="54355.715000000004"/>
    <x v="2"/>
  </r>
  <r>
    <n v="5263"/>
    <s v="BR05"/>
    <x v="4"/>
    <d v="2024-03-26T00:00:00"/>
    <s v="S007"/>
    <x v="4"/>
    <x v="0"/>
    <s v="Power Bank"/>
    <n v="1"/>
    <n v="32286.14"/>
    <n v="5"/>
    <s v="Transfer"/>
    <s v="Returning"/>
    <n v="30671.832999999999"/>
    <x v="0"/>
  </r>
  <r>
    <n v="5166"/>
    <s v="BR04"/>
    <x v="3"/>
    <d v="2024-08-13T00:00:00"/>
    <s v="S003"/>
    <x v="3"/>
    <x v="3"/>
    <s v="Soap Bar"/>
    <n v="1"/>
    <n v="6814"/>
    <n v="15"/>
    <s v="Transfer"/>
    <s v="New"/>
    <n v="5791.9"/>
    <x v="1"/>
  </r>
  <r>
    <n v="5143"/>
    <s v="BR01"/>
    <x v="1"/>
    <d v="2024-03-21T00:00:00"/>
    <s v="S006"/>
    <x v="0"/>
    <x v="0"/>
    <s v="HDMI Cable"/>
    <n v="1"/>
    <n v="29688.7"/>
    <s v=""/>
    <s v="Card"/>
    <s v="Returning"/>
    <n v="29688.7"/>
    <x v="0"/>
  </r>
  <r>
    <n v="5444"/>
    <s v="BR01"/>
    <x v="1"/>
    <d v="2024-01-16T00:00:00"/>
    <s v="S006"/>
    <x v="0"/>
    <x v="2"/>
    <s v="Tomato Paste"/>
    <n v="3"/>
    <n v="11524.78"/>
    <n v="5"/>
    <s v="Card"/>
    <s v="Returning"/>
    <n v="32845.623000000007"/>
    <x v="1"/>
  </r>
  <r>
    <n v="5491"/>
    <s v="BR03"/>
    <x v="5"/>
    <d v="2024-06-11T00:00:00"/>
    <s v="S003"/>
    <x v="3"/>
    <x v="1"/>
    <s v="Cutlery Set"/>
    <n v="2"/>
    <n v="9821.76"/>
    <n v="0"/>
    <s v="Cash"/>
    <s v="Returning"/>
    <n v="19643.52"/>
    <x v="1"/>
  </r>
  <r>
    <n v="5003"/>
    <s v="BR02"/>
    <x v="0"/>
    <d v="2024-06-09T00:00:00"/>
    <s v="S004"/>
    <x v="6"/>
    <x v="3"/>
    <s v="Shampoo"/>
    <n v="1"/>
    <s v=""/>
    <s v=""/>
    <s v="Card"/>
    <s v="Returning"/>
    <s v=""/>
    <x v="2"/>
  </r>
  <r>
    <n v="5153"/>
    <s v="BR02"/>
    <x v="0"/>
    <d v="2024-02-14T00:00:00"/>
    <s v="S002"/>
    <x v="1"/>
    <x v="0"/>
    <s v="Phone Charger"/>
    <m/>
    <n v="34842.620000000003"/>
    <n v="0"/>
    <s v="Card"/>
    <s v="Returning"/>
    <s v=""/>
    <x v="0"/>
  </r>
  <r>
    <n v="5084"/>
    <s v="BR03"/>
    <x v="5"/>
    <d v="2024-07-24T00:00:00"/>
    <s v="S004"/>
    <x v="6"/>
    <x v="1"/>
    <s v="Cutlery Set"/>
    <m/>
    <n v="34623.019999999997"/>
    <s v=""/>
    <s v="Cash"/>
    <s v="New"/>
    <s v=""/>
    <x v="1"/>
  </r>
  <r>
    <n v="5140"/>
    <s v="BR02"/>
    <x v="0"/>
    <d v="2024-08-06T00:00:00"/>
    <s v="S003"/>
    <x v="3"/>
    <x v="1"/>
    <s v="Kettle"/>
    <n v="2"/>
    <n v="4412.87"/>
    <s v=""/>
    <s v="Cash"/>
    <s v="New"/>
    <n v="8825.74"/>
    <x v="1"/>
  </r>
  <r>
    <n v="5230"/>
    <s v="BR01"/>
    <x v="1"/>
    <d v="2024-01-17T00:00:00"/>
    <s v="S008"/>
    <x v="9"/>
    <x v="1"/>
    <s v="Storage Containers"/>
    <n v="4"/>
    <n v="6989.44"/>
    <n v="0"/>
    <s v="Transfer"/>
    <s v="Returning"/>
    <n v="27957.759999999998"/>
    <x v="0"/>
  </r>
  <r>
    <n v="5336"/>
    <s v="BR05"/>
    <x v="4"/>
    <d v="2024-08-16T00:00:00"/>
    <s v="S003"/>
    <x v="3"/>
    <x v="2"/>
    <s v="Rice (5kg)"/>
    <n v="3"/>
    <n v="34074.730000000003"/>
    <n v="15"/>
    <s v="Cash"/>
    <s v="New"/>
    <n v="86890.561499999996"/>
    <x v="1"/>
  </r>
  <r>
    <n v="5296"/>
    <s v="BR02"/>
    <x v="0"/>
    <d v="2024-06-23T00:00:00"/>
    <s v="S008"/>
    <x v="9"/>
    <x v="0"/>
    <s v="Phone Charger"/>
    <n v="2"/>
    <n v="1730.79"/>
    <s v=""/>
    <s v="Cash"/>
    <s v="New"/>
    <n v="3461.58"/>
    <x v="1"/>
  </r>
  <r>
    <n v="5489"/>
    <s v="BR01"/>
    <x v="1"/>
    <d v="2024-04-13T00:00:00"/>
    <s v="S004"/>
    <x v="6"/>
    <x v="1"/>
    <s v="Non-stick Pan"/>
    <n v="4"/>
    <s v=""/>
    <n v="5"/>
    <s v="Card"/>
    <s v="Returning"/>
    <s v=""/>
    <x v="1"/>
  </r>
  <r>
    <n v="5135"/>
    <s v="BR04"/>
    <x v="3"/>
    <d v="2024-06-19T00:00:00"/>
    <s v="S004"/>
    <x v="6"/>
    <x v="1"/>
    <s v="Cutlery Set"/>
    <n v="3"/>
    <s v=""/>
    <n v="15"/>
    <s v="Cash"/>
    <s v="New"/>
    <s v=""/>
    <x v="1"/>
  </r>
  <r>
    <n v="5095"/>
    <s v="BR02"/>
    <x v="0"/>
    <d v="2024-02-13T00:00:00"/>
    <s v="S005"/>
    <x v="2"/>
    <x v="1"/>
    <s v="Cutlery Set"/>
    <m/>
    <n v="36051.629999999997"/>
    <n v="0"/>
    <s v="Transfer"/>
    <s v="Returning"/>
    <s v=""/>
    <x v="0"/>
  </r>
  <r>
    <n v="5156"/>
    <s v="BR01"/>
    <x v="1"/>
    <d v="2024-06-08T00:00:00"/>
    <s v="S005"/>
    <x v="2"/>
    <x v="2"/>
    <s v="Rice (5kg)"/>
    <n v="5"/>
    <n v="7709.58"/>
    <n v="5"/>
    <s v="Transfer"/>
    <s v="Returning"/>
    <n v="36620.505000000005"/>
    <x v="1"/>
  </r>
  <r>
    <n v="5080"/>
    <s v="BR01"/>
    <x v="1"/>
    <d v="2024-04-15T00:00:00"/>
    <s v="S001"/>
    <x v="5"/>
    <x v="0"/>
    <s v="Wireless Earbuds"/>
    <n v="5"/>
    <n v="34398.699999999997"/>
    <s v=""/>
    <s v="Transfer"/>
    <s v="New"/>
    <n v="171993.5"/>
    <x v="1"/>
  </r>
  <r>
    <n v="5218"/>
    <s v="BR03"/>
    <x v="5"/>
    <d v="2024-04-26T00:00:00"/>
    <s v="S008"/>
    <x v="9"/>
    <x v="0"/>
    <s v="Power Bank"/>
    <n v="3"/>
    <n v="27101.08"/>
    <n v="5"/>
    <s v="Card"/>
    <s v="Returning"/>
    <n v="77238.078000000009"/>
    <x v="0"/>
  </r>
  <r>
    <n v="5200"/>
    <s v="BR05"/>
    <x v="4"/>
    <d v="2024-05-15T00:00:00"/>
    <s v="S007"/>
    <x v="4"/>
    <x v="3"/>
    <s v="Shampoo"/>
    <n v="5"/>
    <n v="12355.22"/>
    <n v="10"/>
    <s v="Card"/>
    <s v="Returning"/>
    <n v="55598.49"/>
    <x v="1"/>
  </r>
  <r>
    <n v="5110"/>
    <s v="BR05"/>
    <x v="4"/>
    <d v="2024-07-17T00:00:00"/>
    <s v="S001"/>
    <x v="5"/>
    <x v="3"/>
    <s v="Soap Bar"/>
    <n v="1"/>
    <n v="37492.33"/>
    <s v=""/>
    <s v="Transfer"/>
    <s v="New"/>
    <n v="37492.33"/>
    <x v="0"/>
  </r>
  <r>
    <n v="5370"/>
    <s v="BR01"/>
    <x v="1"/>
    <d v="2024-07-30T00:00:00"/>
    <s v="S002"/>
    <x v="1"/>
    <x v="3"/>
    <s v="Body Lotion"/>
    <n v="3"/>
    <n v="22276.38"/>
    <n v="15"/>
    <s v="Cash"/>
    <s v="New"/>
    <n v="56804.769"/>
    <x v="1"/>
  </r>
  <r>
    <n v="5126"/>
    <s v="BR01"/>
    <x v="1"/>
    <d v="2024-07-06T00:00:00"/>
    <s v="S006"/>
    <x v="0"/>
    <x v="3"/>
    <s v="Deodorant"/>
    <n v="4"/>
    <n v="41004.61"/>
    <n v="5"/>
    <s v="Card"/>
    <s v="Returning"/>
    <n v="155817.51800000001"/>
    <x v="2"/>
  </r>
  <r>
    <n v="5027"/>
    <s v="BR05"/>
    <x v="4"/>
    <d v="2024-04-11T00:00:00"/>
    <s v="S008"/>
    <x v="9"/>
    <x v="0"/>
    <s v="Bluetooth Speaker"/>
    <n v="5"/>
    <n v="37640.32"/>
    <s v=""/>
    <s v="Cash"/>
    <s v="New"/>
    <n v="188201.60000000001"/>
    <x v="0"/>
  </r>
  <r>
    <n v="5275"/>
    <s v="BR03"/>
    <x v="5"/>
    <d v="2024-09-08T00:00:00"/>
    <s v="S002"/>
    <x v="1"/>
    <x v="1"/>
    <s v="Non-stick Pan"/>
    <n v="1"/>
    <n v="16516.439999999999"/>
    <n v="15"/>
    <s v="Cash"/>
    <s v="Returning"/>
    <n v="14038.973999999998"/>
    <x v="2"/>
  </r>
  <r>
    <n v="5455"/>
    <s v="BR02"/>
    <x v="0"/>
    <d v="2024-07-24T00:00:00"/>
    <s v="S002"/>
    <x v="1"/>
    <x v="3"/>
    <s v="Toothpaste"/>
    <m/>
    <n v="37632.79"/>
    <n v="5"/>
    <s v="Cash"/>
    <s v="New"/>
    <s v=""/>
    <x v="1"/>
  </r>
  <r>
    <n v="5125"/>
    <s v="BR01"/>
    <x v="1"/>
    <d v="2024-03-02T00:00:00"/>
    <s v="S008"/>
    <x v="9"/>
    <x v="3"/>
    <s v="Toothpaste"/>
    <n v="5"/>
    <n v="30310.53"/>
    <s v=""/>
    <s v="Cash"/>
    <s v="New"/>
    <n v="151552.65"/>
    <x v="1"/>
  </r>
  <r>
    <n v="5400"/>
    <s v="BR02"/>
    <x v="0"/>
    <d v="2024-04-27T00:00:00"/>
    <s v="S005"/>
    <x v="2"/>
    <x v="0"/>
    <s v="Phone Charger"/>
    <n v="4"/>
    <n v="23074.799999999999"/>
    <n v="5"/>
    <s v="Card"/>
    <s v="Returning"/>
    <n v="87684.239999999991"/>
    <x v="0"/>
  </r>
  <r>
    <n v="5063"/>
    <s v="BR03"/>
    <x v="5"/>
    <d v="2024-09-04T00:00:00"/>
    <s v="S006"/>
    <x v="0"/>
    <x v="3"/>
    <s v="Toothpaste"/>
    <n v="1"/>
    <n v="5341.28"/>
    <n v="0"/>
    <s v="Card"/>
    <s v="Returning"/>
    <n v="5341.28"/>
    <x v="1"/>
  </r>
  <r>
    <n v="5449"/>
    <s v="BR04"/>
    <x v="3"/>
    <d v="2024-01-07T00:00:00"/>
    <s v="S001"/>
    <x v="5"/>
    <x v="3"/>
    <s v="Body Lotion"/>
    <n v="5"/>
    <n v="5006.9399999999996"/>
    <n v="0"/>
    <s v="Card"/>
    <s v="Returning"/>
    <n v="25034.699999999997"/>
    <x v="0"/>
  </r>
  <r>
    <n v="5392"/>
    <s v="BR04"/>
    <x v="3"/>
    <d v="2024-07-30T00:00:00"/>
    <s v="S003"/>
    <x v="3"/>
    <x v="0"/>
    <s v="Power Bank"/>
    <n v="1"/>
    <s v=""/>
    <n v="15"/>
    <s v="Transfer"/>
    <s v="Returning"/>
    <s v=""/>
    <x v="1"/>
  </r>
  <r>
    <n v="5149"/>
    <s v="BR05"/>
    <x v="4"/>
    <d v="2024-07-04T00:00:00"/>
    <s v="S007"/>
    <x v="4"/>
    <x v="1"/>
    <s v="Non-stick Pan"/>
    <n v="2"/>
    <s v=""/>
    <n v="5"/>
    <s v="Card"/>
    <s v="New"/>
    <s v=""/>
    <x v="0"/>
  </r>
  <r>
    <n v="5287"/>
    <s v="BR01"/>
    <x v="1"/>
    <d v="2024-08-04T00:00:00"/>
    <s v="S005"/>
    <x v="2"/>
    <x v="2"/>
    <s v="Spaghetti Pack"/>
    <n v="4"/>
    <n v="6777.39"/>
    <s v=""/>
    <s v="Card"/>
    <s v="Returning"/>
    <n v="27109.56"/>
    <x v="0"/>
  </r>
  <r>
    <n v="5051"/>
    <s v="BR01"/>
    <x v="1"/>
    <d v="2024-08-16T00:00:00"/>
    <s v="S004"/>
    <x v="6"/>
    <x v="1"/>
    <s v="Blender"/>
    <n v="3"/>
    <n v="37079.360000000001"/>
    <s v=""/>
    <s v="Transfer"/>
    <s v="New"/>
    <n v="111238.08"/>
    <x v="0"/>
  </r>
  <r>
    <n v="5393"/>
    <s v="BR01"/>
    <x v="1"/>
    <d v="2024-06-20T00:00:00"/>
    <s v="S006"/>
    <x v="0"/>
    <x v="3"/>
    <s v="Deodorant"/>
    <n v="1"/>
    <n v="29229.14"/>
    <n v="10"/>
    <s v="Transfer"/>
    <s v="New"/>
    <n v="26306.225999999999"/>
    <x v="1"/>
  </r>
  <r>
    <n v="5104"/>
    <s v="BR04"/>
    <x v="3"/>
    <d v="2024-05-12T00:00:00"/>
    <s v="S003"/>
    <x v="3"/>
    <x v="0"/>
    <s v="Bluetooth Speaker"/>
    <m/>
    <n v="1097.48"/>
    <s v=""/>
    <s v="Cash"/>
    <s v="Returning"/>
    <s v=""/>
    <x v="0"/>
  </r>
  <r>
    <n v="5264"/>
    <s v="BR02"/>
    <x v="0"/>
    <d v="2024-07-19T00:00:00"/>
    <s v="S001"/>
    <x v="5"/>
    <x v="0"/>
    <s v="Power Bank"/>
    <n v="5"/>
    <n v="43411.91"/>
    <s v=""/>
    <s v="Card"/>
    <s v="Returning"/>
    <n v="217059.55000000002"/>
    <x v="1"/>
  </r>
  <r>
    <n v="5369"/>
    <s v="BR03"/>
    <x v="5"/>
    <d v="2024-02-21T00:00:00"/>
    <s v="S003"/>
    <x v="3"/>
    <x v="3"/>
    <s v="Body Lotion"/>
    <n v="1"/>
    <n v="44150.41"/>
    <n v="5"/>
    <s v="Cash"/>
    <s v="Returning"/>
    <n v="41942.889500000005"/>
    <x v="2"/>
  </r>
  <r>
    <n v="5174"/>
    <s v="BR01"/>
    <x v="1"/>
    <d v="2024-04-08T00:00:00"/>
    <s v="S006"/>
    <x v="0"/>
    <x v="1"/>
    <s v="Non-stick Pan"/>
    <n v="3"/>
    <n v="4934.22"/>
    <n v="10"/>
    <s v="Cash"/>
    <s v="New"/>
    <n v="13322.394"/>
    <x v="0"/>
  </r>
  <r>
    <n v="5322"/>
    <s v="BR04"/>
    <x v="3"/>
    <d v="2024-05-22T00:00:00"/>
    <s v="S005"/>
    <x v="2"/>
    <x v="0"/>
    <s v="Bluetooth Speaker"/>
    <n v="1"/>
    <n v="2088.02"/>
    <n v="5"/>
    <s v="Card"/>
    <s v="Returning"/>
    <n v="1983.6189999999999"/>
    <x v="0"/>
  </r>
  <r>
    <n v="5422"/>
    <s v="BR05"/>
    <x v="4"/>
    <d v="2024-01-22T00:00:00"/>
    <s v="S008"/>
    <x v="9"/>
    <x v="3"/>
    <s v="Shampoo"/>
    <m/>
    <s v=""/>
    <n v="5"/>
    <s v="Card"/>
    <s v="Returning"/>
    <s v=""/>
    <x v="0"/>
  </r>
  <r>
    <n v="5323"/>
    <s v="BR05"/>
    <x v="4"/>
    <d v="2024-03-15T00:00:00"/>
    <s v="S007"/>
    <x v="4"/>
    <x v="3"/>
    <s v="Deodorant"/>
    <n v="3"/>
    <s v=""/>
    <n v="10"/>
    <s v="Card"/>
    <s v="Returning"/>
    <s v=""/>
    <x v="2"/>
  </r>
  <r>
    <n v="5304"/>
    <s v="BR01"/>
    <x v="1"/>
    <d v="2024-03-25T00:00:00"/>
    <s v="S005"/>
    <x v="2"/>
    <x v="3"/>
    <s v="Soap Bar"/>
    <n v="2"/>
    <n v="22361.64"/>
    <s v=""/>
    <s v="Card"/>
    <s v="Returning"/>
    <n v="44723.28"/>
    <x v="0"/>
  </r>
  <r>
    <n v="5133"/>
    <s v="BR01"/>
    <x v="1"/>
    <d v="2024-02-27T00:00:00"/>
    <s v="S005"/>
    <x v="2"/>
    <x v="3"/>
    <s v="Soap Bar"/>
    <n v="1"/>
    <n v="28145.97"/>
    <n v="15"/>
    <s v="Cash"/>
    <s v="New"/>
    <n v="23924.074500000002"/>
    <x v="0"/>
  </r>
  <r>
    <n v="5255"/>
    <s v="BR02"/>
    <x v="0"/>
    <d v="2024-07-30T00:00:00"/>
    <s v="S004"/>
    <x v="6"/>
    <x v="0"/>
    <s v="Wireless Earbuds"/>
    <n v="4"/>
    <n v="11200.06"/>
    <s v=""/>
    <s v="Card"/>
    <s v="Returning"/>
    <n v="44800.24"/>
    <x v="0"/>
  </r>
  <r>
    <n v="5032"/>
    <s v="BR01"/>
    <x v="1"/>
    <d v="2024-05-05T00:00:00"/>
    <s v="S004"/>
    <x v="6"/>
    <x v="0"/>
    <s v="Wireless Earbuds"/>
    <m/>
    <s v=""/>
    <s v=""/>
    <s v="Card"/>
    <s v="Returning"/>
    <s v=""/>
    <x v="1"/>
  </r>
  <r>
    <n v="5274"/>
    <s v="BR03"/>
    <x v="5"/>
    <d v="2024-03-12T00:00:00"/>
    <s v="S006"/>
    <x v="0"/>
    <x v="2"/>
    <s v="Cooking Oil (1L)"/>
    <m/>
    <s v=""/>
    <n v="5"/>
    <s v="Card"/>
    <s v="New"/>
    <s v=""/>
    <x v="0"/>
  </r>
  <r>
    <n v="5075"/>
    <s v="BR01"/>
    <x v="1"/>
    <d v="2024-09-16T00:00:00"/>
    <s v="S007"/>
    <x v="4"/>
    <x v="2"/>
    <s v="Cooking Oil (1L)"/>
    <n v="1"/>
    <n v="1049.58"/>
    <n v="5"/>
    <s v="Transfer"/>
    <s v="New"/>
    <n v="997.10099999999989"/>
    <x v="1"/>
  </r>
  <r>
    <n v="5451"/>
    <s v="BR05"/>
    <x v="4"/>
    <d v="2024-05-01T00:00:00"/>
    <s v="S004"/>
    <x v="6"/>
    <x v="0"/>
    <s v="Power Bank"/>
    <n v="4"/>
    <n v="29016.15"/>
    <n v="5"/>
    <s v="Card"/>
    <s v="New"/>
    <n v="110261.37000000001"/>
    <x v="1"/>
  </r>
  <r>
    <n v="5416"/>
    <s v="BR01"/>
    <x v="1"/>
    <d v="2024-06-16T00:00:00"/>
    <s v="S007"/>
    <x v="4"/>
    <x v="3"/>
    <s v="Deodorant"/>
    <m/>
    <s v=""/>
    <n v="10"/>
    <s v="Transfer"/>
    <s v="Returning"/>
    <s v=""/>
    <x v="1"/>
  </r>
  <r>
    <n v="5476"/>
    <s v="BR02"/>
    <x v="0"/>
    <d v="2024-03-05T00:00:00"/>
    <s v="S008"/>
    <x v="9"/>
    <x v="0"/>
    <s v="HDMI Cable"/>
    <n v="2"/>
    <n v="21939.439999999999"/>
    <s v=""/>
    <s v="Card"/>
    <s v="Returning"/>
    <n v="43878.879999999997"/>
    <x v="1"/>
  </r>
  <r>
    <n v="5036"/>
    <s v="BR04"/>
    <x v="3"/>
    <d v="2024-07-05T00:00:00"/>
    <s v="S004"/>
    <x v="6"/>
    <x v="0"/>
    <s v="Phone Charger"/>
    <m/>
    <n v="23820.92"/>
    <s v=""/>
    <s v="Card"/>
    <s v="New"/>
    <s v=""/>
    <x v="1"/>
  </r>
  <r>
    <n v="5231"/>
    <s v="BR03"/>
    <x v="5"/>
    <d v="2024-06-19T00:00:00"/>
    <s v="S008"/>
    <x v="9"/>
    <x v="1"/>
    <s v="Kettle"/>
    <n v="1"/>
    <s v=""/>
    <s v=""/>
    <s v="Card"/>
    <s v="Returning"/>
    <s v=""/>
    <x v="0"/>
  </r>
  <r>
    <n v="5493"/>
    <s v="BR03"/>
    <x v="5"/>
    <d v="2024-01-25T00:00:00"/>
    <s v="SXXX"/>
    <x v="10"/>
    <x v="1"/>
    <s v="Non-stick Pan"/>
    <n v="1"/>
    <n v="19347.900000000001"/>
    <s v=""/>
    <s v="Card"/>
    <s v="New"/>
    <n v="19347.900000000001"/>
    <x v="1"/>
  </r>
  <r>
    <n v="5434"/>
    <s v="BR05"/>
    <x v="4"/>
    <d v="2024-05-03T00:00:00"/>
    <s v="S004"/>
    <x v="6"/>
    <x v="0"/>
    <s v="Power Bank"/>
    <m/>
    <n v="13223.34"/>
    <n v="10"/>
    <s v="Cash"/>
    <s v="Returning"/>
    <s v=""/>
    <x v="0"/>
  </r>
  <r>
    <n v="5223"/>
    <s v="BR05"/>
    <x v="4"/>
    <d v="2024-03-28T00:00:00"/>
    <s v="S002"/>
    <x v="1"/>
    <x v="0"/>
    <s v="Wireless Earbuds"/>
    <n v="4"/>
    <n v="35729.82"/>
    <s v=""/>
    <s v="Cash"/>
    <s v="New"/>
    <n v="142919.28"/>
    <x v="2"/>
  </r>
  <r>
    <n v="5313"/>
    <s v="BR03"/>
    <x v="5"/>
    <d v="2024-02-04T00:00:00"/>
    <s v="S006"/>
    <x v="0"/>
    <x v="3"/>
    <s v="Deodorant"/>
    <n v="3"/>
    <n v="17726.810000000001"/>
    <n v="10"/>
    <s v="Cash"/>
    <s v="Returning"/>
    <n v="47862.387000000002"/>
    <x v="0"/>
  </r>
  <r>
    <n v="5307"/>
    <s v="BR02"/>
    <x v="0"/>
    <d v="2024-09-07T00:00:00"/>
    <s v="S004"/>
    <x v="6"/>
    <x v="2"/>
    <s v="Cooking Oil (1L)"/>
    <m/>
    <n v="32575.23"/>
    <n v="0"/>
    <s v="Transfer"/>
    <s v="Returning"/>
    <s v=""/>
    <x v="1"/>
  </r>
  <r>
    <n v="5293"/>
    <s v="BR03"/>
    <x v="5"/>
    <d v="2024-06-23T00:00:00"/>
    <s v="S008"/>
    <x v="9"/>
    <x v="0"/>
    <s v="HDMI Cable"/>
    <n v="5"/>
    <n v="6238.37"/>
    <n v="0"/>
    <s v="Card"/>
    <s v="Returning"/>
    <n v="31191.85"/>
    <x v="2"/>
  </r>
  <r>
    <n v="5040"/>
    <s v="BR04"/>
    <x v="3"/>
    <d v="2024-05-13T00:00:00"/>
    <s v="S003"/>
    <x v="3"/>
    <x v="3"/>
    <s v="Deodorant"/>
    <n v="5"/>
    <n v="6165.35"/>
    <n v="0"/>
    <s v="Cash"/>
    <s v="New"/>
    <n v="30826.75"/>
    <x v="0"/>
  </r>
  <r>
    <n v="5285"/>
    <s v="BR05"/>
    <x v="4"/>
    <d v="2024-05-01T00:00:00"/>
    <s v="S005"/>
    <x v="2"/>
    <x v="0"/>
    <s v="Wireless Earbuds"/>
    <n v="2"/>
    <n v="4317.2299999999996"/>
    <n v="5"/>
    <s v="Card"/>
    <s v="New"/>
    <n v="8202.7369999999992"/>
    <x v="0"/>
  </r>
  <r>
    <n v="5186"/>
    <s v="BR03"/>
    <x v="5"/>
    <d v="2024-03-19T00:00:00"/>
    <s v="S006"/>
    <x v="0"/>
    <x v="2"/>
    <s v="Rice (5kg)"/>
    <m/>
    <n v="9866.4500000000007"/>
    <n v="0"/>
    <s v="Cash"/>
    <s v="Returning"/>
    <s v=""/>
    <x v="0"/>
  </r>
  <r>
    <n v="5315"/>
    <s v="BR02"/>
    <x v="0"/>
    <d v="2024-07-16T00:00:00"/>
    <s v="S002"/>
    <x v="1"/>
    <x v="0"/>
    <s v="Power Bank"/>
    <n v="1"/>
    <n v="34893.89"/>
    <n v="10"/>
    <s v="Transfer"/>
    <s v="Returning"/>
    <n v="31404.501"/>
    <x v="0"/>
  </r>
  <r>
    <n v="5423"/>
    <s v="BR01"/>
    <x v="1"/>
    <d v="2024-07-22T00:00:00"/>
    <s v="S003"/>
    <x v="3"/>
    <x v="0"/>
    <s v="Phone Charger"/>
    <n v="4"/>
    <n v="6132.32"/>
    <n v="15"/>
    <s v="Card"/>
    <s v="Returning"/>
    <n v="20849.887999999999"/>
    <x v="0"/>
  </r>
  <r>
    <n v="5006"/>
    <s v="BR03"/>
    <x v="5"/>
    <d v="2024-04-21T00:00:00"/>
    <s v="S008"/>
    <x v="9"/>
    <x v="3"/>
    <s v="Deodorant"/>
    <n v="3"/>
    <n v="1504.05"/>
    <s v=""/>
    <s v="Card"/>
    <s v="Returning"/>
    <n v="4512.1499999999996"/>
    <x v="1"/>
  </r>
  <r>
    <n v="5376"/>
    <s v="BR01"/>
    <x v="1"/>
    <d v="2024-05-22T00:00:00"/>
    <s v="S008"/>
    <x v="9"/>
    <x v="1"/>
    <s v="Storage Containers"/>
    <n v="2"/>
    <s v=""/>
    <s v=""/>
    <s v="Transfer"/>
    <s v="Returning"/>
    <s v=""/>
    <x v="1"/>
  </r>
  <r>
    <n v="5115"/>
    <s v="BR05"/>
    <x v="4"/>
    <d v="2024-08-16T00:00:00"/>
    <s v="S001"/>
    <x v="5"/>
    <x v="0"/>
    <s v="Wireless Earbuds"/>
    <n v="5"/>
    <n v="22141.040000000001"/>
    <s v=""/>
    <s v="Cash"/>
    <s v="Returning"/>
    <n v="110705.20000000001"/>
    <x v="1"/>
  </r>
  <r>
    <n v="5390"/>
    <s v="BR01"/>
    <x v="1"/>
    <d v="2024-08-24T00:00:00"/>
    <s v="S002"/>
    <x v="1"/>
    <x v="0"/>
    <s v="HDMI Cable"/>
    <m/>
    <n v="41943.19"/>
    <n v="15"/>
    <s v="Card"/>
    <s v="Returning"/>
    <s v=""/>
    <x v="0"/>
  </r>
  <r>
    <n v="5151"/>
    <s v="BR03"/>
    <x v="5"/>
    <d v="2024-07-26T00:00:00"/>
    <s v="S003"/>
    <x v="3"/>
    <x v="0"/>
    <s v="Power Bank"/>
    <n v="2"/>
    <n v="25196.42"/>
    <n v="5"/>
    <s v="Cash"/>
    <s v="New"/>
    <n v="47873.197999999997"/>
    <x v="1"/>
  </r>
  <r>
    <n v="5352"/>
    <s v="BR04"/>
    <x v="3"/>
    <d v="2024-07-13T00:00:00"/>
    <s v="S004"/>
    <x v="6"/>
    <x v="1"/>
    <s v="Non-stick Pan"/>
    <n v="5"/>
    <s v=""/>
    <n v="15"/>
    <s v="Card"/>
    <s v="New"/>
    <s v=""/>
    <x v="0"/>
  </r>
  <r>
    <n v="5314"/>
    <s v="BR05"/>
    <x v="4"/>
    <d v="2024-03-12T00:00:00"/>
    <s v="S006"/>
    <x v="0"/>
    <x v="3"/>
    <s v="Deodorant"/>
    <m/>
    <s v=""/>
    <n v="5"/>
    <s v="Card"/>
    <s v="Returning"/>
    <s v=""/>
    <x v="2"/>
  </r>
  <r>
    <n v="5330"/>
    <s v="BR02"/>
    <x v="0"/>
    <d v="2024-02-21T00:00:00"/>
    <s v="S001"/>
    <x v="5"/>
    <x v="2"/>
    <s v="Sugar (1kg)"/>
    <n v="5"/>
    <n v="23082.13"/>
    <s v=""/>
    <s v="Card"/>
    <s v="Returning"/>
    <n v="115410.65000000001"/>
    <x v="0"/>
  </r>
  <r>
    <n v="5225"/>
    <s v="BR03"/>
    <x v="5"/>
    <d v="2024-05-05T00:00:00"/>
    <s v="S003"/>
    <x v="3"/>
    <x v="3"/>
    <s v="Body Lotion"/>
    <n v="4"/>
    <n v="26837.9"/>
    <n v="15"/>
    <s v="Transfer"/>
    <s v="New"/>
    <n v="91248.86"/>
    <x v="1"/>
  </r>
  <r>
    <n v="5479"/>
    <s v="BR01"/>
    <x v="1"/>
    <d v="2024-10-04T00:00:00"/>
    <s v="S002"/>
    <x v="1"/>
    <x v="0"/>
    <s v="HDMI Cable"/>
    <n v="5"/>
    <s v=""/>
    <s v=""/>
    <s v="Card"/>
    <s v="Returning"/>
    <s v=""/>
    <x v="1"/>
  </r>
  <r>
    <n v="5124"/>
    <s v="BR03"/>
    <x v="5"/>
    <d v="2024-04-27T00:00:00"/>
    <s v="S001"/>
    <x v="5"/>
    <x v="3"/>
    <s v="Toothpaste"/>
    <n v="1"/>
    <n v="41083.17"/>
    <n v="5"/>
    <s v="Card"/>
    <s v="Returning"/>
    <n v="39029.011500000001"/>
    <x v="2"/>
  </r>
  <r>
    <n v="5490"/>
    <s v="BR05"/>
    <x v="4"/>
    <d v="2024-05-29T00:00:00"/>
    <s v="S005"/>
    <x v="2"/>
    <x v="1"/>
    <s v="Non-stick Pan"/>
    <n v="3"/>
    <n v="32656.46"/>
    <s v=""/>
    <s v="Cash"/>
    <s v="Returning"/>
    <n v="97969.38"/>
    <x v="1"/>
  </r>
  <r>
    <n v="5082"/>
    <s v="BR03"/>
    <x v="5"/>
    <d v="2024-04-20T00:00:00"/>
    <s v="S008"/>
    <x v="9"/>
    <x v="3"/>
    <s v="Soap Bar"/>
    <n v="4"/>
    <n v="1890.55"/>
    <n v="0"/>
    <s v="Transfer"/>
    <s v="Returning"/>
    <n v="7562.2"/>
    <x v="1"/>
  </r>
  <r>
    <n v="5190"/>
    <s v="BR01"/>
    <x v="1"/>
    <d v="2024-01-11T00:00:00"/>
    <s v="S001"/>
    <x v="5"/>
    <x v="0"/>
    <s v="Bluetooth Speaker"/>
    <n v="3"/>
    <s v=""/>
    <n v="15"/>
    <s v="Cash"/>
    <s v="New"/>
    <s v=""/>
    <x v="0"/>
  </r>
  <r>
    <n v="5037"/>
    <s v="BR04"/>
    <x v="3"/>
    <d v="2024-06-22T00:00:00"/>
    <s v="S099"/>
    <x v="7"/>
    <x v="1"/>
    <s v="Storage Containers"/>
    <m/>
    <n v="6761.47"/>
    <n v="10"/>
    <s v="Cash"/>
    <s v="New"/>
    <s v=""/>
    <x v="0"/>
  </r>
  <r>
    <n v="5466"/>
    <s v="BR04"/>
    <x v="3"/>
    <d v="2024-05-01T00:00:00"/>
    <s v="S008"/>
    <x v="9"/>
    <x v="3"/>
    <s v="Soap Bar"/>
    <n v="5"/>
    <n v="44769.43"/>
    <n v="0"/>
    <s v="Cash"/>
    <s v="Returning"/>
    <n v="223847.15"/>
    <x v="0"/>
  </r>
  <r>
    <n v="5497"/>
    <s v="BR05"/>
    <x v="4"/>
    <d v="2024-07-01T00:00:00"/>
    <s v="S001"/>
    <x v="5"/>
    <x v="0"/>
    <s v="Wireless Earbuds"/>
    <m/>
    <n v="2707.84"/>
    <n v="0"/>
    <s v="Transfer"/>
    <s v="Returning"/>
    <s v=""/>
    <x v="0"/>
  </r>
  <r>
    <n v="5021"/>
    <s v="BR03"/>
    <x v="5"/>
    <d v="2024-04-24T00:00:00"/>
    <s v="S003"/>
    <x v="3"/>
    <x v="3"/>
    <s v="Toothpaste"/>
    <n v="2"/>
    <n v="43555.74"/>
    <n v="15"/>
    <s v="Transfer"/>
    <s v="New"/>
    <n v="74044.758000000002"/>
    <x v="0"/>
  </r>
  <r>
    <n v="5454"/>
    <s v="BR01"/>
    <x v="1"/>
    <d v="2024-06-26T00:00:00"/>
    <s v="S004"/>
    <x v="6"/>
    <x v="3"/>
    <s v="Deodorant"/>
    <n v="4"/>
    <s v=""/>
    <s v=""/>
    <s v="Cash"/>
    <s v="Returning"/>
    <s v=""/>
    <x v="1"/>
  </r>
  <r>
    <n v="5180"/>
    <s v="BR03"/>
    <x v="5"/>
    <d v="2024-05-04T00:00:00"/>
    <s v="S004"/>
    <x v="6"/>
    <x v="3"/>
    <s v="Soap Bar"/>
    <n v="3"/>
    <n v="3189.98"/>
    <s v=""/>
    <s v="Transfer"/>
    <s v="Returning"/>
    <n v="9569.94"/>
    <x v="0"/>
  </r>
  <r>
    <n v="5012"/>
    <s v="BR01"/>
    <x v="1"/>
    <d v="2024-04-09T00:00:00"/>
    <s v="S002"/>
    <x v="1"/>
    <x v="3"/>
    <s v="Soap Bar"/>
    <n v="2"/>
    <n v="16328.48"/>
    <s v=""/>
    <s v="Cash"/>
    <s v="Returning"/>
    <n v="32656.959999999999"/>
    <x v="2"/>
  </r>
  <r>
    <n v="5283"/>
    <s v="BR02"/>
    <x v="0"/>
    <d v="2024-01-10T00:00:00"/>
    <s v="S002"/>
    <x v="1"/>
    <x v="1"/>
    <s v="Kettle"/>
    <n v="3"/>
    <s v=""/>
    <n v="0"/>
    <s v="Card"/>
    <s v="Returning"/>
    <s v=""/>
    <x v="0"/>
  </r>
  <r>
    <n v="5446"/>
    <s v="BR01"/>
    <x v="1"/>
    <d v="2024-07-16T00:00:00"/>
    <s v="S007"/>
    <x v="4"/>
    <x v="2"/>
    <s v="Sugar (1kg)"/>
    <n v="3"/>
    <s v=""/>
    <n v="15"/>
    <s v="Card"/>
    <s v="New"/>
    <s v=""/>
    <x v="0"/>
  </r>
  <r>
    <n v="5333"/>
    <s v="BR03"/>
    <x v="5"/>
    <d v="2024-07-02T00:00:00"/>
    <s v="S006"/>
    <x v="0"/>
    <x v="0"/>
    <s v="Wireless Earbuds"/>
    <n v="4"/>
    <n v="28236.38"/>
    <n v="0"/>
    <s v="Cash"/>
    <s v="Returning"/>
    <n v="112945.52"/>
    <x v="1"/>
  </r>
  <r>
    <n v="5379"/>
    <s v="BR04"/>
    <x v="3"/>
    <d v="2024-05-03T00:00:00"/>
    <s v="S099"/>
    <x v="7"/>
    <x v="2"/>
    <s v="Rice (5kg)"/>
    <n v="5"/>
    <n v="9154.33"/>
    <n v="0"/>
    <s v="Transfer"/>
    <s v="Returning"/>
    <n v="45771.65"/>
    <x v="0"/>
  </r>
  <r>
    <n v="5239"/>
    <s v="BR05"/>
    <x v="4"/>
    <d v="2024-07-04T00:00:00"/>
    <s v="S007"/>
    <x v="4"/>
    <x v="2"/>
    <s v="Spaghetti Pack"/>
    <n v="3"/>
    <s v=""/>
    <s v=""/>
    <s v="Card"/>
    <s v="New"/>
    <s v=""/>
    <x v="0"/>
  </r>
  <r>
    <n v="5262"/>
    <s v="BR02"/>
    <x v="0"/>
    <d v="2024-04-18T00:00:00"/>
    <s v="S003"/>
    <x v="3"/>
    <x v="0"/>
    <s v="Wireless Earbuds"/>
    <n v="3"/>
    <n v="19412.54"/>
    <s v=""/>
    <s v="Card"/>
    <s v="Returning"/>
    <n v="58237.62"/>
    <x v="1"/>
  </r>
  <r>
    <n v="5291"/>
    <s v="BR03"/>
    <x v="5"/>
    <d v="2024-02-03T00:00:00"/>
    <s v="S006"/>
    <x v="0"/>
    <x v="0"/>
    <s v="HDMI Cable"/>
    <n v="5"/>
    <n v="11017.35"/>
    <n v="15"/>
    <s v="Card"/>
    <s v="New"/>
    <n v="46823.737500000003"/>
    <x v="0"/>
  </r>
  <r>
    <n v="5059"/>
    <s v="BR03"/>
    <x v="5"/>
    <d v="2024-06-16T00:00:00"/>
    <s v="S006"/>
    <x v="0"/>
    <x v="2"/>
    <s v="Rice (5kg)"/>
    <n v="2"/>
    <n v="2465.41"/>
    <s v=""/>
    <s v="Cash"/>
    <s v="Returning"/>
    <n v="4930.82"/>
    <x v="1"/>
  </r>
  <r>
    <n v="5150"/>
    <s v="BR04"/>
    <x v="3"/>
    <d v="2024-01-18T00:00:00"/>
    <s v="S002"/>
    <x v="1"/>
    <x v="0"/>
    <s v="Bluetooth Speaker"/>
    <n v="3"/>
    <s v=""/>
    <n v="0"/>
    <s v="Cash"/>
    <s v="New"/>
    <s v=""/>
    <x v="0"/>
  </r>
  <r>
    <n v="5159"/>
    <s v="BR02"/>
    <x v="0"/>
    <d v="2024-04-30T00:00:00"/>
    <s v="S003"/>
    <x v="3"/>
    <x v="1"/>
    <s v="Cutlery Set"/>
    <m/>
    <n v="37220.31"/>
    <s v=""/>
    <s v="Card"/>
    <s v="Returning"/>
    <s v=""/>
    <x v="0"/>
  </r>
  <r>
    <n v="5066"/>
    <s v="BR03"/>
    <x v="5"/>
    <d v="2024-07-23T00:00:00"/>
    <s v="S003"/>
    <x v="3"/>
    <x v="0"/>
    <s v="Wireless Earbuds"/>
    <n v="4"/>
    <s v=""/>
    <s v=""/>
    <s v="Card"/>
    <s v="Returning"/>
    <s v=""/>
    <x v="0"/>
  </r>
  <r>
    <n v="5242"/>
    <s v="BR02"/>
    <x v="0"/>
    <d v="2024-07-25T00:00:00"/>
    <s v="S007"/>
    <x v="4"/>
    <x v="3"/>
    <s v="Toothpaste"/>
    <m/>
    <n v="3434.77"/>
    <s v=""/>
    <s v="Cash"/>
    <s v="Returning"/>
    <s v=""/>
    <x v="0"/>
  </r>
  <r>
    <n v="5038"/>
    <s v="BR02"/>
    <x v="0"/>
    <d v="2024-05-23T00:00:00"/>
    <s v="S005"/>
    <x v="2"/>
    <x v="3"/>
    <s v="Body Lotion"/>
    <n v="4"/>
    <n v="44946.27"/>
    <n v="15"/>
    <s v="Cash"/>
    <s v="Returning"/>
    <n v="152817.318"/>
    <x v="1"/>
  </r>
  <r>
    <n v="5404"/>
    <s v="BR04"/>
    <x v="3"/>
    <d v="2024-07-04T00:00:00"/>
    <s v="S007"/>
    <x v="4"/>
    <x v="1"/>
    <s v="Non-stick Pan"/>
    <m/>
    <s v=""/>
    <s v=""/>
    <s v="Cash"/>
    <s v="Returning"/>
    <s v=""/>
    <x v="0"/>
  </r>
  <r>
    <n v="5299"/>
    <s v="BR03"/>
    <x v="5"/>
    <d v="2024-12-03T00:00:00"/>
    <s v="S005"/>
    <x v="2"/>
    <x v="2"/>
    <s v="Cooking Oil (1L)"/>
    <n v="3"/>
    <s v=""/>
    <s v=""/>
    <s v="Card"/>
    <s v="Returning"/>
    <s v=""/>
    <x v="0"/>
  </r>
  <r>
    <n v="5268"/>
    <s v="BR01"/>
    <x v="1"/>
    <d v="2024-02-27T00:00:00"/>
    <s v="S003"/>
    <x v="3"/>
    <x v="3"/>
    <s v="Body Lotion"/>
    <n v="2"/>
    <n v="6657.01"/>
    <n v="0"/>
    <s v="Cash"/>
    <s v="New"/>
    <n v="13314.02"/>
    <x v="1"/>
  </r>
  <r>
    <n v="5107"/>
    <s v="BR01"/>
    <x v="1"/>
    <d v="2024-09-12T00:00:00"/>
    <s v="S004"/>
    <x v="6"/>
    <x v="1"/>
    <s v="Cutlery Set"/>
    <n v="3"/>
    <n v="34944.03"/>
    <s v=""/>
    <s v="Card"/>
    <s v="New"/>
    <n v="104832.09"/>
    <x v="0"/>
  </r>
  <r>
    <n v="5247"/>
    <s v="BR01"/>
    <x v="1"/>
    <d v="2024-05-08T00:00:00"/>
    <s v="S002"/>
    <x v="1"/>
    <x v="1"/>
    <s v="Storage Containers"/>
    <n v="5"/>
    <n v="18701.75"/>
    <s v=""/>
    <s v="Cash"/>
    <s v="Returning"/>
    <n v="93508.75"/>
    <x v="0"/>
  </r>
  <r>
    <n v="5220"/>
    <s v="BR03"/>
    <x v="5"/>
    <d v="2024-07-30T00:00:00"/>
    <s v="S008"/>
    <x v="9"/>
    <x v="0"/>
    <s v="Phone Charger"/>
    <n v="2"/>
    <n v="27004.01"/>
    <n v="10"/>
    <s v="Card"/>
    <s v="Returning"/>
    <n v="48607.217999999993"/>
    <x v="1"/>
  </r>
  <r>
    <n v="5450"/>
    <s v="BR03"/>
    <x v="5"/>
    <d v="2024-04-02T00:00:00"/>
    <s v="S002"/>
    <x v="1"/>
    <x v="3"/>
    <s v="Shampoo"/>
    <m/>
    <s v=""/>
    <s v=""/>
    <s v="Card"/>
    <s v="New"/>
    <s v=""/>
    <x v="1"/>
  </r>
  <r>
    <n v="5025"/>
    <s v="BR01"/>
    <x v="1"/>
    <d v="2024-02-26T00:00:00"/>
    <s v="S008"/>
    <x v="9"/>
    <x v="0"/>
    <s v="HDMI Cable"/>
    <n v="4"/>
    <n v="41736.78"/>
    <n v="10"/>
    <s v="Card"/>
    <s v="Returning"/>
    <n v="150252.408"/>
    <x v="1"/>
  </r>
  <r>
    <n v="5385"/>
    <s v="BR05"/>
    <x v="4"/>
    <d v="2024-08-23T00:00:00"/>
    <s v="S008"/>
    <x v="9"/>
    <x v="0"/>
    <s v="Wireless Earbuds"/>
    <m/>
    <n v="3886.56"/>
    <s v=""/>
    <s v="Cash"/>
    <s v="Returning"/>
    <s v=""/>
    <x v="0"/>
  </r>
  <r>
    <n v="5401"/>
    <s v="BR03"/>
    <x v="5"/>
    <d v="2024-08-17T00:00:00"/>
    <s v="S003"/>
    <x v="3"/>
    <x v="1"/>
    <s v="Kettle"/>
    <n v="3"/>
    <n v="44014.85"/>
    <n v="0"/>
    <s v="Transfer"/>
    <s v="Returning"/>
    <n v="132044.54999999999"/>
    <x v="1"/>
  </r>
  <r>
    <n v="5488"/>
    <s v="BR05"/>
    <x v="4"/>
    <d v="2024-05-10T00:00:00"/>
    <s v="S004"/>
    <x v="6"/>
    <x v="2"/>
    <s v="Tomato Paste"/>
    <n v="4"/>
    <n v="33550.879999999997"/>
    <n v="15"/>
    <s v="Card"/>
    <s v="Returning"/>
    <n v="114072.992"/>
    <x v="1"/>
  </r>
  <r>
    <n v="5049"/>
    <s v="BR01"/>
    <x v="1"/>
    <d v="2024-06-09T00:00:00"/>
    <s v="S007"/>
    <x v="4"/>
    <x v="0"/>
    <s v="Power Bank"/>
    <m/>
    <n v="27027.66"/>
    <n v="5"/>
    <s v="Transfer"/>
    <s v="Returning"/>
    <s v=""/>
    <x v="0"/>
  </r>
  <r>
    <n v="5044"/>
    <s v="BR04"/>
    <x v="3"/>
    <d v="2024-08-22T00:00:00"/>
    <s v="S002"/>
    <x v="1"/>
    <x v="1"/>
    <s v="Kettle"/>
    <n v="4"/>
    <n v="11556.71"/>
    <n v="5"/>
    <s v="Card"/>
    <s v="Returning"/>
    <n v="43915.498"/>
    <x v="1"/>
  </r>
  <r>
    <n v="5055"/>
    <s v="BR05"/>
    <x v="4"/>
    <d v="2024-05-15T00:00:00"/>
    <s v="S007"/>
    <x v="4"/>
    <x v="2"/>
    <s v="Cooking Oil (1L)"/>
    <m/>
    <n v="2006.94"/>
    <n v="5"/>
    <s v="Transfer"/>
    <s v="New"/>
    <s v=""/>
    <x v="1"/>
  </r>
  <r>
    <n v="5157"/>
    <s v="BR02"/>
    <x v="0"/>
    <d v="2024-02-26T00:00:00"/>
    <s v="S005"/>
    <x v="2"/>
    <x v="1"/>
    <s v="Kettle"/>
    <n v="1"/>
    <n v="5478.31"/>
    <n v="10"/>
    <s v="Card"/>
    <s v="New"/>
    <n v="4930.4790000000003"/>
    <x v="0"/>
  </r>
  <r>
    <n v="5326"/>
    <s v="BR05"/>
    <x v="4"/>
    <d v="2024-07-15T00:00:00"/>
    <s v="S002"/>
    <x v="1"/>
    <x v="1"/>
    <s v="Kettle"/>
    <n v="4"/>
    <s v=""/>
    <s v=""/>
    <s v="Cash"/>
    <s v="Returning"/>
    <s v=""/>
    <x v="1"/>
  </r>
  <r>
    <n v="5137"/>
    <s v="BR05"/>
    <x v="4"/>
    <d v="2024-03-12T00:00:00"/>
    <s v="S001"/>
    <x v="5"/>
    <x v="1"/>
    <s v="Storage Containers"/>
    <n v="1"/>
    <n v="23681.35"/>
    <n v="15"/>
    <s v="Cash"/>
    <s v="Returning"/>
    <n v="20129.147499999999"/>
    <x v="0"/>
  </r>
  <r>
    <n v="5031"/>
    <s v="BR05"/>
    <x v="4"/>
    <d v="2024-09-15T00:00:00"/>
    <s v="S007"/>
    <x v="4"/>
    <x v="3"/>
    <s v="Deodorant"/>
    <m/>
    <s v=""/>
    <s v=""/>
    <s v="Card"/>
    <s v="New"/>
    <s v=""/>
    <x v="1"/>
  </r>
  <r>
    <n v="5245"/>
    <s v="BR03"/>
    <x v="5"/>
    <d v="2024-02-26T00:00:00"/>
    <s v="SXXX"/>
    <x v="10"/>
    <x v="2"/>
    <s v="Tomato Paste"/>
    <n v="1"/>
    <n v="43988.6"/>
    <n v="10"/>
    <s v="Card"/>
    <s v="Returning"/>
    <n v="39589.74"/>
    <x v="0"/>
  </r>
  <r>
    <n v="5139"/>
    <s v="BR05"/>
    <x v="4"/>
    <d v="2024-09-12T00:00:00"/>
    <s v="S008"/>
    <x v="9"/>
    <x v="1"/>
    <s v="Blender"/>
    <n v="3"/>
    <s v=""/>
    <s v=""/>
    <s v="Cash"/>
    <s v="New"/>
    <s v=""/>
    <x v="2"/>
  </r>
  <r>
    <n v="5035"/>
    <s v="BR04"/>
    <x v="3"/>
    <d v="2024-08-22T00:00:00"/>
    <s v="S005"/>
    <x v="2"/>
    <x v="1"/>
    <s v="Storage Containers"/>
    <n v="1"/>
    <n v="44701.87"/>
    <n v="10"/>
    <s v="Transfer"/>
    <s v="New"/>
    <n v="40231.683000000005"/>
    <x v="0"/>
  </r>
  <r>
    <n v="5195"/>
    <s v="BR01"/>
    <x v="1"/>
    <d v="2024-03-16T00:00:00"/>
    <s v="S006"/>
    <x v="0"/>
    <x v="0"/>
    <s v="Wireless Earbuds"/>
    <n v="4"/>
    <n v="43691.16"/>
    <n v="5"/>
    <s v="Cash"/>
    <s v="Returning"/>
    <n v="166026.40800000002"/>
    <x v="1"/>
  </r>
  <r>
    <n v="5397"/>
    <s v="BR01"/>
    <x v="1"/>
    <d v="2024-01-31T00:00:00"/>
    <s v="S003"/>
    <x v="3"/>
    <x v="1"/>
    <s v="Blender"/>
    <n v="5"/>
    <n v="2508.2199999999998"/>
    <n v="5"/>
    <s v="Cash"/>
    <s v="Returning"/>
    <n v="11914.044999999998"/>
    <x v="0"/>
  </r>
  <r>
    <n v="5187"/>
    <s v="BR02"/>
    <x v="0"/>
    <d v="2024-03-08T00:00:00"/>
    <s v="S008"/>
    <x v="9"/>
    <x v="0"/>
    <s v="HDMI Cable"/>
    <n v="5"/>
    <n v="43993.63"/>
    <n v="0"/>
    <s v="Card"/>
    <s v="Returning"/>
    <n v="219968.15"/>
    <x v="0"/>
  </r>
  <r>
    <n v="5248"/>
    <s v="BR05"/>
    <x v="4"/>
    <d v="2024-04-11T00:00:00"/>
    <s v="S008"/>
    <x v="9"/>
    <x v="2"/>
    <s v="Spaghetti Pack"/>
    <n v="1"/>
    <n v="18428.04"/>
    <n v="10"/>
    <s v="Card"/>
    <s v="New"/>
    <n v="16585.236000000001"/>
    <x v="0"/>
  </r>
  <r>
    <n v="5152"/>
    <s v="BR05"/>
    <x v="4"/>
    <d v="2024-05-06T00:00:00"/>
    <s v="S008"/>
    <x v="9"/>
    <x v="2"/>
    <s v="Cooking Oil (1L)"/>
    <m/>
    <n v="6327.05"/>
    <s v=""/>
    <s v="Transfer"/>
    <s v="Returning"/>
    <s v=""/>
    <x v="0"/>
  </r>
  <r>
    <n v="5081"/>
    <s v="BR01"/>
    <x v="1"/>
    <d v="2024-05-24T00:00:00"/>
    <s v="S005"/>
    <x v="2"/>
    <x v="1"/>
    <s v="Non-stick Pan"/>
    <m/>
    <s v=""/>
    <n v="0"/>
    <s v="Card"/>
    <s v="New"/>
    <s v=""/>
    <x v="0"/>
  </r>
  <r>
    <n v="5460"/>
    <s v="BR03"/>
    <x v="5"/>
    <d v="2024-08-22T00:00:00"/>
    <s v="S004"/>
    <x v="6"/>
    <x v="1"/>
    <s v="Non-stick Pan"/>
    <n v="3"/>
    <n v="3681.88"/>
    <n v="10"/>
    <s v="Card"/>
    <s v="New"/>
    <n v="9941.0759999999991"/>
    <x v="0"/>
  </r>
  <r>
    <n v="5117"/>
    <s v="BR01"/>
    <x v="1"/>
    <d v="2024-05-11T00:00:00"/>
    <s v="S004"/>
    <x v="6"/>
    <x v="0"/>
    <s v="Phone Charger"/>
    <n v="4"/>
    <n v="38311.4"/>
    <s v=""/>
    <s v="Cash"/>
    <s v="New"/>
    <n v="153245.6"/>
    <x v="1"/>
  </r>
  <r>
    <n v="5378"/>
    <s v="BR04"/>
    <x v="3"/>
    <d v="2024-01-10T00:00:00"/>
    <s v="S008"/>
    <x v="9"/>
    <x v="3"/>
    <s v="Soap Bar"/>
    <n v="1"/>
    <s v=""/>
    <n v="0"/>
    <s v="Card"/>
    <s v="Returning"/>
    <s v=""/>
    <x v="2"/>
  </r>
  <r>
    <n v="5366"/>
    <s v="BR04"/>
    <x v="3"/>
    <d v="2024-02-18T00:00:00"/>
    <s v="S004"/>
    <x v="6"/>
    <x v="3"/>
    <s v="Deodorant"/>
    <n v="3"/>
    <n v="11799.63"/>
    <s v=""/>
    <s v="Card"/>
    <s v="New"/>
    <n v="35398.89"/>
    <x v="0"/>
  </r>
  <r>
    <n v="5158"/>
    <s v="BR02"/>
    <x v="0"/>
    <d v="2024-09-14T00:00:00"/>
    <s v="S002"/>
    <x v="1"/>
    <x v="1"/>
    <s v="Storage Containers"/>
    <n v="5"/>
    <n v="37379.03"/>
    <n v="0"/>
    <s v="Transfer"/>
    <s v="Returning"/>
    <n v="186895.15"/>
    <x v="0"/>
  </r>
  <r>
    <n v="5484"/>
    <s v="BR04"/>
    <x v="3"/>
    <d v="2024-06-06T00:00:00"/>
    <s v="S007"/>
    <x v="4"/>
    <x v="3"/>
    <s v="Deodorant"/>
    <n v="1"/>
    <n v="20394.02"/>
    <s v=""/>
    <s v="Transfer"/>
    <s v="New"/>
    <n v="20394.02"/>
    <x v="1"/>
  </r>
  <r>
    <n v="5142"/>
    <s v="BR01"/>
    <x v="1"/>
    <d v="2024-06-24T00:00:00"/>
    <s v="S007"/>
    <x v="4"/>
    <x v="3"/>
    <s v="Soap Bar"/>
    <n v="5"/>
    <n v="41814.35"/>
    <n v="15"/>
    <s v="Transfer"/>
    <s v="Returning"/>
    <n v="177710.98749999999"/>
    <x v="0"/>
  </r>
  <r>
    <n v="5289"/>
    <s v="BR01"/>
    <x v="1"/>
    <d v="2024-01-13T00:00:00"/>
    <s v="S004"/>
    <x v="6"/>
    <x v="0"/>
    <s v="Bluetooth Speaker"/>
    <n v="3"/>
    <n v="22807.98"/>
    <s v=""/>
    <s v="Card"/>
    <s v="New"/>
    <n v="68423.94"/>
    <x v="1"/>
  </r>
  <r>
    <n v="5350"/>
    <s v="BR01"/>
    <x v="1"/>
    <d v="2024-05-03T00:00:00"/>
    <s v="S006"/>
    <x v="0"/>
    <x v="3"/>
    <s v="Toothpaste"/>
    <n v="5"/>
    <n v="32386.21"/>
    <n v="0"/>
    <s v="Card"/>
    <s v="New"/>
    <n v="161931.04999999999"/>
    <x v="0"/>
  </r>
  <r>
    <n v="5114"/>
    <s v="BR02"/>
    <x v="0"/>
    <d v="2024-08-25T00:00:00"/>
    <s v="S006"/>
    <x v="0"/>
    <x v="1"/>
    <s v="Kettle"/>
    <n v="2"/>
    <n v="2484.4499999999998"/>
    <s v=""/>
    <s v="Card"/>
    <s v="New"/>
    <n v="4968.8999999999996"/>
    <x v="0"/>
  </r>
  <r>
    <n v="5399"/>
    <s v="BR02"/>
    <x v="0"/>
    <d v="2024-02-02T00:00:00"/>
    <s v="S005"/>
    <x v="2"/>
    <x v="3"/>
    <s v="Shampoo"/>
    <n v="4"/>
    <n v="2832.52"/>
    <n v="15"/>
    <s v="Card"/>
    <s v="Returning"/>
    <n v="9630.5679999999993"/>
    <x v="0"/>
  </r>
  <r>
    <n v="5154"/>
    <s v="BR02"/>
    <x v="0"/>
    <d v="2024-07-23T00:00:00"/>
    <s v="S002"/>
    <x v="1"/>
    <x v="0"/>
    <s v="Phone Charger"/>
    <n v="5"/>
    <n v="34251.18"/>
    <n v="10"/>
    <s v="Cash"/>
    <s v="New"/>
    <n v="154130.31"/>
    <x v="1"/>
  </r>
  <r>
    <n v="5340"/>
    <s v="BR03"/>
    <x v="5"/>
    <d v="2024-02-04T00:00:00"/>
    <s v="S008"/>
    <x v="9"/>
    <x v="3"/>
    <s v="Toothpaste"/>
    <n v="4"/>
    <n v="25541.05"/>
    <s v=""/>
    <s v="Transfer"/>
    <s v="New"/>
    <n v="102164.2"/>
    <x v="1"/>
  </r>
  <r>
    <n v="5131"/>
    <s v="BR04"/>
    <x v="3"/>
    <d v="2024-01-28T00:00:00"/>
    <s v="S001"/>
    <x v="5"/>
    <x v="1"/>
    <s v="Non-stick Pan"/>
    <n v="3"/>
    <s v=""/>
    <s v=""/>
    <s v="Cash"/>
    <s v="Returning"/>
    <s v=""/>
    <x v="0"/>
  </r>
  <r>
    <n v="5405"/>
    <s v="BR01"/>
    <x v="1"/>
    <d v="2024-03-01T00:00:00"/>
    <s v="S005"/>
    <x v="2"/>
    <x v="0"/>
    <s v="Power Bank"/>
    <n v="4"/>
    <s v=""/>
    <n v="0"/>
    <s v="Transfer"/>
    <s v="Returning"/>
    <s v=""/>
    <x v="1"/>
  </r>
  <r>
    <n v="5382"/>
    <s v="BR05"/>
    <x v="4"/>
    <d v="2024-04-14T00:00:00"/>
    <s v="S005"/>
    <x v="2"/>
    <x v="3"/>
    <s v="Toothpaste"/>
    <n v="5"/>
    <n v="12684.53"/>
    <n v="15"/>
    <s v="Transfer"/>
    <s v="New"/>
    <n v="53909.252500000002"/>
    <x v="2"/>
  </r>
  <r>
    <n v="5253"/>
    <s v="BR05"/>
    <x v="4"/>
    <d v="2024-08-13T00:00:00"/>
    <s v="S004"/>
    <x v="6"/>
    <x v="0"/>
    <s v="Power Bank"/>
    <n v="3"/>
    <n v="17526.18"/>
    <n v="5"/>
    <s v="Transfer"/>
    <s v="Returning"/>
    <n v="49949.612999999998"/>
    <x v="1"/>
  </r>
  <r>
    <n v="5420"/>
    <s v="BR03"/>
    <x v="5"/>
    <d v="2024-01-22T00:00:00"/>
    <s v="S006"/>
    <x v="0"/>
    <x v="0"/>
    <s v="Phone Charger"/>
    <n v="3"/>
    <s v=""/>
    <n v="0"/>
    <s v="Cash"/>
    <s v="Returning"/>
    <s v=""/>
    <x v="1"/>
  </r>
  <r>
    <n v="5374"/>
    <s v="BR02"/>
    <x v="0"/>
    <d v="2024-02-10T00:00:00"/>
    <s v="S001"/>
    <x v="5"/>
    <x v="3"/>
    <s v="Shampoo"/>
    <m/>
    <n v="14962.08"/>
    <n v="10"/>
    <s v="Card"/>
    <s v="New"/>
    <s v=""/>
    <x v="0"/>
  </r>
  <r>
    <n v="5277"/>
    <s v="BR01"/>
    <x v="1"/>
    <d v="2024-09-24T00:00:00"/>
    <s v="S005"/>
    <x v="2"/>
    <x v="1"/>
    <s v="Storage Containers"/>
    <m/>
    <n v="17701.43"/>
    <n v="0"/>
    <s v="Transfer"/>
    <s v="New"/>
    <s v=""/>
    <x v="1"/>
  </r>
  <r>
    <n v="5089"/>
    <s v="BR03"/>
    <x v="5"/>
    <d v="2024-04-27T00:00:00"/>
    <s v="S100"/>
    <x v="8"/>
    <x v="1"/>
    <s v="Non-stick Pan"/>
    <n v="4"/>
    <s v=""/>
    <s v=""/>
    <s v="Cash"/>
    <s v="Returning"/>
    <s v=""/>
    <x v="0"/>
  </r>
  <r>
    <n v="5417"/>
    <s v="BR03"/>
    <x v="5"/>
    <d v="2024-06-24T00:00:00"/>
    <s v="S003"/>
    <x v="3"/>
    <x v="1"/>
    <s v="Kettle"/>
    <n v="2"/>
    <n v="13185.32"/>
    <s v=""/>
    <s v="Cash"/>
    <s v="New"/>
    <n v="26370.639999999999"/>
    <x v="0"/>
  </r>
  <r>
    <n v="5472"/>
    <s v="BR05"/>
    <x v="4"/>
    <d v="2024-01-05T00:00:00"/>
    <s v="S007"/>
    <x v="4"/>
    <x v="2"/>
    <s v="Rice (5kg)"/>
    <n v="5"/>
    <s v=""/>
    <s v=""/>
    <s v="Card"/>
    <s v="Returning"/>
    <s v=""/>
    <x v="2"/>
  </r>
  <r>
    <n v="5042"/>
    <s v="BR02"/>
    <x v="0"/>
    <d v="2024-09-25T00:00:00"/>
    <s v="S006"/>
    <x v="0"/>
    <x v="0"/>
    <s v="HDMI Cable"/>
    <n v="3"/>
    <n v="36516.449999999997"/>
    <s v=""/>
    <s v="Transfer"/>
    <s v="Returning"/>
    <n v="109549.34999999999"/>
    <x v="0"/>
  </r>
  <r>
    <n v="5252"/>
    <s v="BR04"/>
    <x v="3"/>
    <d v="2024-02-06T00:00:00"/>
    <s v="S002"/>
    <x v="1"/>
    <x v="2"/>
    <s v="Sugar (1kg)"/>
    <n v="1"/>
    <n v="906.04"/>
    <n v="15"/>
    <s v="Card"/>
    <s v="New"/>
    <n v="770.13400000000001"/>
    <x v="1"/>
  </r>
  <r>
    <n v="5185"/>
    <s v="BR03"/>
    <x v="5"/>
    <d v="2024-01-14T00:00:00"/>
    <s v="S007"/>
    <x v="4"/>
    <x v="0"/>
    <s v="Wireless Earbuds"/>
    <n v="3"/>
    <s v=""/>
    <n v="0"/>
    <s v="Transfer"/>
    <s v="Returning"/>
    <s v=""/>
    <x v="1"/>
  </r>
  <r>
    <n v="5194"/>
    <s v="BR04"/>
    <x v="3"/>
    <d v="2024-04-28T00:00:00"/>
    <s v="S006"/>
    <x v="0"/>
    <x v="1"/>
    <s v="Blender"/>
    <n v="1"/>
    <n v="26544.69"/>
    <n v="10"/>
    <s v="Card"/>
    <s v="Returning"/>
    <n v="23890.220999999998"/>
    <x v="1"/>
  </r>
  <r>
    <n v="5278"/>
    <s v="BR01"/>
    <x v="1"/>
    <d v="2024-07-27T00:00:00"/>
    <s v="S003"/>
    <x v="3"/>
    <x v="0"/>
    <s v="Phone Charger"/>
    <n v="4"/>
    <n v="11766.4"/>
    <s v=""/>
    <s v="Card"/>
    <s v="Returning"/>
    <n v="47065.599999999999"/>
    <x v="0"/>
  </r>
  <r>
    <n v="5418"/>
    <s v="BR03"/>
    <x v="5"/>
    <d v="2024-08-20T00:00:00"/>
    <s v="S003"/>
    <x v="3"/>
    <x v="1"/>
    <s v="Blender"/>
    <n v="5"/>
    <s v=""/>
    <n v="0"/>
    <s v="Card"/>
    <s v="Returning"/>
    <s v=""/>
    <x v="0"/>
  </r>
  <r>
    <n v="5039"/>
    <s v="BR03"/>
    <x v="5"/>
    <d v="2024-04-14T00:00:00"/>
    <s v="S005"/>
    <x v="2"/>
    <x v="1"/>
    <s v="Kettle"/>
    <n v="3"/>
    <n v="35438.85"/>
    <s v=""/>
    <s v="Transfer"/>
    <s v="Returning"/>
    <n v="106316.54999999999"/>
    <x v="1"/>
  </r>
  <r>
    <n v="5408"/>
    <s v="BR05"/>
    <x v="4"/>
    <d v="2024-04-10T00:00:00"/>
    <s v="S001"/>
    <x v="5"/>
    <x v="3"/>
    <s v="Soap Bar"/>
    <n v="3"/>
    <s v=""/>
    <s v=""/>
    <s v="Card"/>
    <s v="Returning"/>
    <s v=""/>
    <x v="0"/>
  </r>
  <r>
    <n v="5073"/>
    <s v="BR04"/>
    <x v="3"/>
    <d v="2024-08-18T00:00:00"/>
    <s v="S003"/>
    <x v="3"/>
    <x v="2"/>
    <s v="Spaghetti Pack"/>
    <n v="4"/>
    <s v=""/>
    <s v=""/>
    <s v="Cash"/>
    <s v="Returning"/>
    <s v=""/>
    <x v="1"/>
  </r>
  <r>
    <n v="5111"/>
    <s v="BR02"/>
    <x v="0"/>
    <d v="2024-03-16T00:00:00"/>
    <s v="S001"/>
    <x v="5"/>
    <x v="3"/>
    <s v="Body Lotion"/>
    <n v="2"/>
    <n v="26605.61"/>
    <n v="0"/>
    <s v="Card"/>
    <s v="Returning"/>
    <n v="53211.22"/>
    <x v="2"/>
  </r>
  <r>
    <n v="5429"/>
    <s v="BR02"/>
    <x v="0"/>
    <d v="2024-03-04T00:00:00"/>
    <s v="S007"/>
    <x v="4"/>
    <x v="3"/>
    <s v="Body Lotion"/>
    <n v="1"/>
    <n v="20959.900000000001"/>
    <s v=""/>
    <s v="Card"/>
    <s v="Returning"/>
    <n v="20959.900000000001"/>
    <x v="1"/>
  </r>
  <r>
    <n v="5337"/>
    <s v="BR02"/>
    <x v="0"/>
    <d v="2024-01-21T00:00:00"/>
    <s v="S002"/>
    <x v="1"/>
    <x v="1"/>
    <s v="Cutlery Set"/>
    <n v="4"/>
    <n v="5947.79"/>
    <s v=""/>
    <s v="Card"/>
    <s v="New"/>
    <n v="23791.16"/>
    <x v="1"/>
  </r>
  <r>
    <n v="5024"/>
    <s v="BR05"/>
    <x v="4"/>
    <d v="2024-12-02T00:00:00"/>
    <s v="S006"/>
    <x v="0"/>
    <x v="0"/>
    <s v="HDMI Cable"/>
    <m/>
    <n v="8658.81"/>
    <n v="10"/>
    <s v="Card"/>
    <s v="Returning"/>
    <s v=""/>
    <x v="0"/>
  </r>
  <r>
    <n v="5364"/>
    <s v="BR03"/>
    <x v="5"/>
    <d v="2024-03-22T00:00:00"/>
    <s v="S002"/>
    <x v="1"/>
    <x v="2"/>
    <s v="Tomato Paste"/>
    <n v="3"/>
    <s v=""/>
    <n v="10"/>
    <s v="Cash"/>
    <s v="Returning"/>
    <s v=""/>
    <x v="1"/>
  </r>
  <r>
    <n v="5425"/>
    <s v="BR03"/>
    <x v="5"/>
    <d v="2024-01-13T00:00:00"/>
    <s v="S007"/>
    <x v="4"/>
    <x v="0"/>
    <s v="Phone Charger"/>
    <m/>
    <s v=""/>
    <n v="0"/>
    <s v="Cash"/>
    <s v="New"/>
    <s v=""/>
    <x v="2"/>
  </r>
  <r>
    <n v="5077"/>
    <s v="BR01"/>
    <x v="1"/>
    <d v="2024-01-08T00:00:00"/>
    <s v="S005"/>
    <x v="2"/>
    <x v="0"/>
    <s v="HDMI Cable"/>
    <m/>
    <n v="19904.349999999999"/>
    <n v="0"/>
    <s v="Cash"/>
    <s v="New"/>
    <s v=""/>
    <x v="1"/>
  </r>
  <r>
    <n v="5170"/>
    <s v="BR05"/>
    <x v="4"/>
    <d v="2024-06-04T00:00:00"/>
    <s v="S004"/>
    <x v="6"/>
    <x v="1"/>
    <s v="Storage Containers"/>
    <n v="2"/>
    <n v="8532.32"/>
    <n v="5"/>
    <s v="Cash"/>
    <s v="Returning"/>
    <n v="16211.407999999999"/>
    <x v="1"/>
  </r>
  <r>
    <n v="5386"/>
    <s v="BR05"/>
    <x v="4"/>
    <d v="2024-04-24T00:00:00"/>
    <s v="S003"/>
    <x v="3"/>
    <x v="2"/>
    <s v="Cooking Oil (1L)"/>
    <n v="5"/>
    <n v="24089.08"/>
    <s v=""/>
    <s v="Card"/>
    <s v="New"/>
    <n v="120445.40000000001"/>
    <x v="0"/>
  </r>
  <r>
    <n v="5419"/>
    <s v="BR05"/>
    <x v="4"/>
    <d v="2024-09-19T00:00:00"/>
    <s v="S001"/>
    <x v="5"/>
    <x v="2"/>
    <s v="Spaghetti Pack"/>
    <n v="2"/>
    <n v="35989.49"/>
    <n v="10"/>
    <s v="Cash"/>
    <s v="New"/>
    <n v="64781.081999999995"/>
    <x v="1"/>
  </r>
  <r>
    <n v="5168"/>
    <s v="BR01"/>
    <x v="1"/>
    <d v="2024-01-31T00:00:00"/>
    <s v="S006"/>
    <x v="0"/>
    <x v="2"/>
    <s v="Tomato Paste"/>
    <n v="3"/>
    <n v="23496.71"/>
    <n v="15"/>
    <s v="Card"/>
    <s v="Returning"/>
    <n v="59916.61050000001"/>
    <x v="2"/>
  </r>
  <r>
    <n v="5295"/>
    <s v="BR04"/>
    <x v="3"/>
    <d v="2024-05-27T00:00:00"/>
    <s v="S006"/>
    <x v="0"/>
    <x v="0"/>
    <s v="Power Bank"/>
    <n v="5"/>
    <s v=""/>
    <n v="15"/>
    <s v="Cash"/>
    <s v="New"/>
    <s v=""/>
    <x v="1"/>
  </r>
  <r>
    <n v="5312"/>
    <s v="BR04"/>
    <x v="3"/>
    <d v="2024-09-02T00:00:00"/>
    <s v="S004"/>
    <x v="6"/>
    <x v="3"/>
    <s v="Toothpaste"/>
    <n v="4"/>
    <n v="29464.81"/>
    <s v=""/>
    <s v="Card"/>
    <s v="Returning"/>
    <n v="117859.24"/>
    <x v="0"/>
  </r>
  <r>
    <n v="5054"/>
    <s v="BR04"/>
    <x v="3"/>
    <d v="2024-06-12T00:00:00"/>
    <s v="S008"/>
    <x v="9"/>
    <x v="2"/>
    <s v="Rice (5kg)"/>
    <m/>
    <n v="13997.51"/>
    <s v=""/>
    <s v="Cash"/>
    <s v="New"/>
    <s v=""/>
    <x v="2"/>
  </r>
  <r>
    <n v="5226"/>
    <s v="BR02"/>
    <x v="0"/>
    <d v="2024-09-26T00:00:00"/>
    <s v="S003"/>
    <x v="3"/>
    <x v="2"/>
    <s v="Cooking Oil (1L)"/>
    <m/>
    <n v="15232.19"/>
    <s v=""/>
    <s v="Transfer"/>
    <s v="New"/>
    <s v=""/>
    <x v="0"/>
  </r>
  <r>
    <n v="5317"/>
    <s v="BR02"/>
    <x v="0"/>
    <d v="2024-06-28T00:00:00"/>
    <s v="S007"/>
    <x v="4"/>
    <x v="3"/>
    <s v="Deodorant"/>
    <n v="4"/>
    <n v="10852.71"/>
    <n v="5"/>
    <s v="Card"/>
    <s v="New"/>
    <n v="41240.297999999995"/>
    <x v="2"/>
  </r>
  <r>
    <n v="5433"/>
    <s v="BR05"/>
    <x v="4"/>
    <d v="2024-07-21T00:00:00"/>
    <s v="S007"/>
    <x v="4"/>
    <x v="2"/>
    <s v="Tomato Paste"/>
    <n v="3"/>
    <s v=""/>
    <n v="10"/>
    <s v="Cash"/>
    <s v="Returning"/>
    <s v=""/>
    <x v="1"/>
  </r>
  <r>
    <n v="5286"/>
    <s v="BR09"/>
    <x v="6"/>
    <d v="2024-02-12T00:00:00"/>
    <s v="S004"/>
    <x v="6"/>
    <x v="2"/>
    <s v="Tomato Paste"/>
    <n v="5"/>
    <s v=""/>
    <s v=""/>
    <s v="Cash"/>
    <s v="New"/>
    <s v=""/>
    <x v="1"/>
  </r>
  <r>
    <n v="5033"/>
    <s v="BR04"/>
    <x v="3"/>
    <d v="2024-07-14T00:00:00"/>
    <s v="S002"/>
    <x v="1"/>
    <x v="0"/>
    <s v="Bluetooth Speaker"/>
    <n v="1"/>
    <n v="38152.949999999997"/>
    <n v="5"/>
    <s v="Transfer"/>
    <s v="Returning"/>
    <n v="36245.302499999998"/>
    <x v="2"/>
  </r>
  <r>
    <n v="5061"/>
    <s v="BR04"/>
    <x v="3"/>
    <d v="2024-07-19T00:00:00"/>
    <s v="S007"/>
    <x v="4"/>
    <x v="0"/>
    <s v="HDMI Cable"/>
    <n v="3"/>
    <s v=""/>
    <s v=""/>
    <s v="Cash"/>
    <s v="Returning"/>
    <s v=""/>
    <x v="1"/>
  </r>
  <r>
    <n v="5004"/>
    <s v="BR04"/>
    <x v="3"/>
    <d v="2024-08-02T00:00:00"/>
    <s v="S003"/>
    <x v="3"/>
    <x v="2"/>
    <s v="Rice (5kg)"/>
    <n v="5"/>
    <s v=""/>
    <n v="0"/>
    <s v="Card"/>
    <s v="New"/>
    <s v=""/>
    <x v="1"/>
  </r>
  <r>
    <n v="5463"/>
    <s v="BR01"/>
    <x v="1"/>
    <d v="2024-04-27T00:00:00"/>
    <s v="S006"/>
    <x v="0"/>
    <x v="0"/>
    <s v="Wireless Earbuds"/>
    <n v="2"/>
    <s v=""/>
    <n v="5"/>
    <s v="Card"/>
    <s v="Returning"/>
    <s v=""/>
    <x v="0"/>
  </r>
  <r>
    <n v="5361"/>
    <s v="BR09"/>
    <x v="6"/>
    <d v="2024-12-01T00:00:00"/>
    <s v="S008"/>
    <x v="9"/>
    <x v="2"/>
    <s v="Cooking Oil (1L)"/>
    <m/>
    <s v=""/>
    <n v="0"/>
    <s v="Cash"/>
    <s v="New"/>
    <s v=""/>
    <x v="1"/>
  </r>
  <r>
    <n v="5298"/>
    <s v="BR04"/>
    <x v="3"/>
    <d v="2024-06-06T00:00:00"/>
    <s v="S004"/>
    <x v="6"/>
    <x v="0"/>
    <s v="Bluetooth Speaker"/>
    <n v="5"/>
    <n v="34123.61"/>
    <s v=""/>
    <s v="Card"/>
    <s v="Returning"/>
    <n v="170618.05"/>
    <x v="1"/>
  </r>
  <r>
    <n v="5094"/>
    <s v="BR02"/>
    <x v="0"/>
    <d v="2024-03-05T00:00:00"/>
    <s v="S004"/>
    <x v="6"/>
    <x v="1"/>
    <s v="Kettle"/>
    <n v="2"/>
    <s v=""/>
    <n v="15"/>
    <s v="Cash"/>
    <s v="Returning"/>
    <s v=""/>
    <x v="1"/>
  </r>
  <r>
    <n v="5074"/>
    <s v="BR02"/>
    <x v="0"/>
    <d v="2024-05-07T00:00:00"/>
    <s v="S005"/>
    <x v="2"/>
    <x v="0"/>
    <s v="Wireless Earbuds"/>
    <n v="5"/>
    <s v=""/>
    <s v=""/>
    <s v="Card"/>
    <s v="Returning"/>
    <s v=""/>
    <x v="0"/>
  </r>
  <r>
    <n v="5346"/>
    <s v="BR01"/>
    <x v="1"/>
    <d v="2024-07-03T00:00:00"/>
    <s v="S004"/>
    <x v="6"/>
    <x v="2"/>
    <s v="Tomato Paste"/>
    <m/>
    <n v="11883.52"/>
    <n v="0"/>
    <s v="Card"/>
    <s v="New"/>
    <s v=""/>
    <x v="0"/>
  </r>
  <r>
    <n v="5175"/>
    <s v="BRXX"/>
    <x v="2"/>
    <d v="2024-08-05T00:00:00"/>
    <s v="S001"/>
    <x v="5"/>
    <x v="1"/>
    <s v="Non-stick Pan"/>
    <n v="3"/>
    <n v="8744.4599999999991"/>
    <s v=""/>
    <s v="Transfer"/>
    <s v="Returning"/>
    <n v="26233.379999999997"/>
    <x v="1"/>
  </r>
  <r>
    <n v="5211"/>
    <s v="BR04"/>
    <x v="3"/>
    <d v="2024-03-13T00:00:00"/>
    <s v="S005"/>
    <x v="2"/>
    <x v="3"/>
    <s v="Toothpaste"/>
    <n v="2"/>
    <s v=""/>
    <s v=""/>
    <s v="Transfer"/>
    <s v="Returning"/>
    <s v=""/>
    <x v="1"/>
  </r>
  <r>
    <n v="5415"/>
    <s v="BR03"/>
    <x v="5"/>
    <d v="2024-06-01T00:00:00"/>
    <s v="S004"/>
    <x v="6"/>
    <x v="3"/>
    <s v="Toothpaste"/>
    <n v="3"/>
    <n v="25466.75"/>
    <s v=""/>
    <s v="Transfer"/>
    <s v="New"/>
    <n v="76400.25"/>
    <x v="2"/>
  </r>
  <r>
    <n v="5477"/>
    <s v="BR02"/>
    <x v="0"/>
    <d v="2024-05-04T00:00:00"/>
    <s v="S003"/>
    <x v="3"/>
    <x v="1"/>
    <s v="Cutlery Set"/>
    <m/>
    <n v="12021.85"/>
    <n v="15"/>
    <s v="Card"/>
    <s v="Returning"/>
    <s v=""/>
    <x v="0"/>
  </r>
  <r>
    <n v="5138"/>
    <s v="BR03"/>
    <x v="5"/>
    <d v="2024-08-01T00:00:00"/>
    <s v="S008"/>
    <x v="9"/>
    <x v="3"/>
    <s v="Toothpaste"/>
    <n v="1"/>
    <n v="692.41"/>
    <n v="15"/>
    <s v="Transfer"/>
    <s v="Returning"/>
    <n v="588.54849999999999"/>
    <x v="1"/>
  </r>
  <r>
    <n v="5459"/>
    <s v="BR01"/>
    <x v="1"/>
    <d v="2024-01-13T00:00:00"/>
    <s v="S005"/>
    <x v="2"/>
    <x v="3"/>
    <s v="Shampoo"/>
    <m/>
    <n v="42636.63"/>
    <s v=""/>
    <s v="Card"/>
    <s v="New"/>
    <s v=""/>
    <x v="0"/>
  </r>
  <r>
    <n v="5414"/>
    <s v="BR04"/>
    <x v="3"/>
    <d v="2024-08-15T00:00:00"/>
    <s v="S005"/>
    <x v="2"/>
    <x v="3"/>
    <s v="Body Lotion"/>
    <m/>
    <s v=""/>
    <n v="5"/>
    <s v="Cash"/>
    <s v="New"/>
    <s v=""/>
    <x v="1"/>
  </r>
  <r>
    <n v="5492"/>
    <s v="BR04"/>
    <x v="3"/>
    <d v="2024-07-12T00:00:00"/>
    <s v="S005"/>
    <x v="2"/>
    <x v="0"/>
    <s v="Power Bank"/>
    <n v="2"/>
    <n v="40049.31"/>
    <n v="0"/>
    <s v="Transfer"/>
    <s v="New"/>
    <n v="80098.62"/>
    <x v="1"/>
  </r>
  <r>
    <n v="5362"/>
    <s v="BR01"/>
    <x v="1"/>
    <d v="2024-04-26T00:00:00"/>
    <s v="S005"/>
    <x v="2"/>
    <x v="3"/>
    <s v="Shampoo"/>
    <n v="4"/>
    <n v="27329.66"/>
    <s v=""/>
    <s v="Card"/>
    <s v="Returning"/>
    <n v="109318.64"/>
    <x v="0"/>
  </r>
  <r>
    <n v="5099"/>
    <s v="BR02"/>
    <x v="0"/>
    <d v="2024-02-08T00:00:00"/>
    <s v="S001"/>
    <x v="5"/>
    <x v="2"/>
    <s v="Spaghetti Pack"/>
    <n v="5"/>
    <s v=""/>
    <n v="0"/>
    <s v="Transfer"/>
    <s v="Returning"/>
    <s v=""/>
    <x v="0"/>
  </r>
  <r>
    <n v="5085"/>
    <s v="BR01"/>
    <x v="1"/>
    <d v="2024-01-18T00:00:00"/>
    <s v="S001"/>
    <x v="5"/>
    <x v="3"/>
    <s v="Toothpaste"/>
    <n v="4"/>
    <s v=""/>
    <s v=""/>
    <s v="Cash"/>
    <s v="Returning"/>
    <s v=""/>
    <x v="1"/>
  </r>
  <r>
    <n v="5398"/>
    <s v="BR02"/>
    <x v="0"/>
    <d v="2024-06-26T00:00:00"/>
    <s v="S007"/>
    <x v="4"/>
    <x v="2"/>
    <s v="Sugar (1kg)"/>
    <n v="3"/>
    <n v="27847.16"/>
    <n v="5"/>
    <s v="Transfer"/>
    <s v="Returning"/>
    <n v="79364.405999999988"/>
    <x v="0"/>
  </r>
  <r>
    <n v="5280"/>
    <s v="BR05"/>
    <x v="4"/>
    <d v="2024-09-25T00:00:00"/>
    <s v="S006"/>
    <x v="0"/>
    <x v="2"/>
    <s v="Tomato Paste"/>
    <n v="3"/>
    <n v="25879.02"/>
    <s v=""/>
    <s v="Cash"/>
    <s v="Returning"/>
    <n v="77637.06"/>
    <x v="0"/>
  </r>
  <r>
    <n v="5083"/>
    <s v="BR03"/>
    <x v="5"/>
    <d v="2024-05-13T00:00:00"/>
    <s v="S004"/>
    <x v="6"/>
    <x v="3"/>
    <s v="Shampoo"/>
    <m/>
    <n v="22341.62"/>
    <n v="15"/>
    <s v="Cash"/>
    <s v="Returning"/>
    <s v=""/>
    <x v="1"/>
  </r>
  <r>
    <n v="5348"/>
    <s v="BR02"/>
    <x v="0"/>
    <d v="2024-05-05T00:00:00"/>
    <s v="S008"/>
    <x v="9"/>
    <x v="3"/>
    <s v="Deodorant"/>
    <n v="2"/>
    <n v="43851.839999999997"/>
    <n v="0"/>
    <s v="Cash"/>
    <s v="New"/>
    <n v="87703.679999999993"/>
    <x v="0"/>
  </r>
  <r>
    <n v="5064"/>
    <s v="BR04"/>
    <x v="3"/>
    <d v="2024-07-15T00:00:00"/>
    <s v="S003"/>
    <x v="3"/>
    <x v="2"/>
    <s v="Sugar (1kg)"/>
    <n v="2"/>
    <n v="37398.85"/>
    <n v="10"/>
    <s v="Transfer"/>
    <s v="Returning"/>
    <n v="67317.929999999993"/>
    <x v="1"/>
  </r>
  <r>
    <n v="5177"/>
    <s v="BR05"/>
    <x v="4"/>
    <d v="2024-08-27T00:00:00"/>
    <s v="S006"/>
    <x v="0"/>
    <x v="2"/>
    <s v="Spaghetti Pack"/>
    <n v="5"/>
    <n v="28295.55"/>
    <s v=""/>
    <s v="Transfer"/>
    <s v="New"/>
    <n v="141477.75"/>
    <x v="1"/>
  </r>
  <r>
    <n v="5448"/>
    <s v="BR04"/>
    <x v="3"/>
    <d v="2024-06-24T00:00:00"/>
    <s v="S002"/>
    <x v="1"/>
    <x v="2"/>
    <s v="Tomato Paste"/>
    <n v="3"/>
    <n v="14620.62"/>
    <s v=""/>
    <s v="Card"/>
    <s v="New"/>
    <n v="43861.86"/>
    <x v="0"/>
  </r>
  <r>
    <n v="5076"/>
    <s v="BR02"/>
    <x v="0"/>
    <d v="2024-02-23T00:00:00"/>
    <s v="S005"/>
    <x v="2"/>
    <x v="0"/>
    <s v="Bluetooth Speaker"/>
    <n v="1"/>
    <s v=""/>
    <n v="10"/>
    <s v="Transfer"/>
    <s v="New"/>
    <s v=""/>
    <x v="1"/>
  </r>
  <r>
    <n v="5309"/>
    <s v="BR04"/>
    <x v="3"/>
    <d v="2024-09-05T00:00:00"/>
    <s v="S004"/>
    <x v="6"/>
    <x v="1"/>
    <s v="Non-stick Pan"/>
    <n v="5"/>
    <n v="14552.66"/>
    <n v="15"/>
    <s v="Transfer"/>
    <s v="Returning"/>
    <n v="61848.805000000008"/>
    <x v="0"/>
  </r>
  <r>
    <n v="5467"/>
    <s v="BR04"/>
    <x v="3"/>
    <d v="2024-08-27T00:00:00"/>
    <s v="S007"/>
    <x v="4"/>
    <x v="2"/>
    <s v="Cooking Oil (1L)"/>
    <n v="3"/>
    <s v=""/>
    <n v="5"/>
    <s v="Transfer"/>
    <s v="Returning"/>
    <s v=""/>
    <x v="0"/>
  </r>
  <r>
    <n v="5428"/>
    <s v="BR03"/>
    <x v="5"/>
    <d v="2024-09-19T00:00:00"/>
    <s v="S001"/>
    <x v="5"/>
    <x v="0"/>
    <s v="Bluetooth Speaker"/>
    <m/>
    <n v="39343.33"/>
    <n v="15"/>
    <s v="Transfer"/>
    <s v="New"/>
    <s v=""/>
    <x v="1"/>
  </r>
  <r>
    <n v="5267"/>
    <s v="BR02"/>
    <x v="0"/>
    <d v="2024-04-24T00:00:00"/>
    <s v="S003"/>
    <x v="3"/>
    <x v="3"/>
    <s v="Body Lotion"/>
    <n v="2"/>
    <n v="21921.919999999998"/>
    <n v="15"/>
    <s v="Cash"/>
    <s v="Returning"/>
    <n v="37267.263999999996"/>
    <x v="1"/>
  </r>
  <r>
    <n v="5232"/>
    <s v="BR02"/>
    <x v="0"/>
    <d v="2024-03-30T00:00:00"/>
    <s v="S007"/>
    <x v="4"/>
    <x v="3"/>
    <s v="Deodorant"/>
    <n v="5"/>
    <n v="35688.11"/>
    <n v="15"/>
    <s v="Card"/>
    <s v="New"/>
    <n v="151674.4675"/>
    <x v="1"/>
  </r>
  <r>
    <n v="5197"/>
    <s v="BR04"/>
    <x v="3"/>
    <d v="2024-05-17T00:00:00"/>
    <s v="S005"/>
    <x v="2"/>
    <x v="0"/>
    <s v="HDMI Cable"/>
    <m/>
    <n v="20691.439999999999"/>
    <s v=""/>
    <s v="Transfer"/>
    <s v="Returning"/>
    <s v=""/>
    <x v="0"/>
  </r>
  <r>
    <n v="5019"/>
    <s v="BR01"/>
    <x v="1"/>
    <d v="2024-04-12T00:00:00"/>
    <s v="S001"/>
    <x v="5"/>
    <x v="0"/>
    <s v="Phone Charger"/>
    <n v="1"/>
    <s v=""/>
    <n v="0"/>
    <s v="Card"/>
    <s v="Returning"/>
    <s v=""/>
    <x v="1"/>
  </r>
  <r>
    <n v="5023"/>
    <s v="BR01"/>
    <x v="1"/>
    <d v="2024-05-12T00:00:00"/>
    <s v="S004"/>
    <x v="6"/>
    <x v="0"/>
    <s v="Wireless Earbuds"/>
    <n v="1"/>
    <n v="40812.49"/>
    <s v=""/>
    <s v="Transfer"/>
    <s v="Returning"/>
    <n v="40812.49"/>
    <x v="0"/>
  </r>
  <r>
    <n v="5257"/>
    <s v="BR01"/>
    <x v="1"/>
    <d v="2024-09-16T00:00:00"/>
    <s v="S002"/>
    <x v="1"/>
    <x v="0"/>
    <s v="Phone Charger"/>
    <n v="4"/>
    <s v=""/>
    <s v=""/>
    <s v="Cash"/>
    <s v="New"/>
    <s v=""/>
    <x v="1"/>
  </r>
  <r>
    <n v="5318"/>
    <s v="BR05"/>
    <x v="4"/>
    <d v="2024-09-21T00:00:00"/>
    <s v="S001"/>
    <x v="5"/>
    <x v="1"/>
    <s v="Storage Containers"/>
    <n v="5"/>
    <n v="28683.200000000001"/>
    <s v=""/>
    <s v="Card"/>
    <s v="Returning"/>
    <n v="143416"/>
    <x v="1"/>
  </r>
  <r>
    <n v="5335"/>
    <s v="BR02"/>
    <x v="0"/>
    <d v="2024-04-23T00:00:00"/>
    <s v="S001"/>
    <x v="5"/>
    <x v="2"/>
    <s v="Spaghetti Pack"/>
    <n v="1"/>
    <s v=""/>
    <n v="0"/>
    <s v="Transfer"/>
    <s v="Returning"/>
    <s v=""/>
    <x v="1"/>
  </r>
  <r>
    <n v="5316"/>
    <s v="BR02"/>
    <x v="0"/>
    <d v="2024-04-02T00:00:00"/>
    <s v="S005"/>
    <x v="2"/>
    <x v="0"/>
    <s v="Wireless Earbuds"/>
    <n v="1"/>
    <n v="2236.04"/>
    <n v="10"/>
    <s v="Transfer"/>
    <s v="New"/>
    <n v="2012.4359999999999"/>
    <x v="1"/>
  </r>
  <r>
    <n v="5306"/>
    <s v="BR04"/>
    <x v="3"/>
    <d v="2024-03-25T00:00:00"/>
    <s v="S005"/>
    <x v="2"/>
    <x v="3"/>
    <s v="Toothpaste"/>
    <n v="5"/>
    <s v=""/>
    <s v=""/>
    <s v="Card"/>
    <s v="Returning"/>
    <s v=""/>
    <x v="0"/>
  </r>
  <r>
    <n v="5196"/>
    <s v="BR01"/>
    <x v="1"/>
    <d v="2024-01-23T00:00:00"/>
    <s v="S008"/>
    <x v="9"/>
    <x v="0"/>
    <s v="HDMI Cable"/>
    <n v="2"/>
    <n v="33047.230000000003"/>
    <n v="10"/>
    <s v="Cash"/>
    <s v="New"/>
    <n v="59485.014000000003"/>
    <x v="1"/>
  </r>
  <r>
    <n v="5359"/>
    <s v="BR04"/>
    <x v="3"/>
    <d v="2024-12-06T00:00:00"/>
    <s v="S005"/>
    <x v="2"/>
    <x v="3"/>
    <s v="Body Lotion"/>
    <n v="5"/>
    <n v="43822.63"/>
    <s v=""/>
    <s v="Transfer"/>
    <s v="Returning"/>
    <n v="219113.15"/>
    <x v="2"/>
  </r>
  <r>
    <n v="5192"/>
    <s v="BR01"/>
    <x v="1"/>
    <d v="2024-07-03T00:00:00"/>
    <s v="S004"/>
    <x v="6"/>
    <x v="2"/>
    <s v="Spaghetti Pack"/>
    <n v="5"/>
    <n v="43078.87"/>
    <s v=""/>
    <s v="Cash"/>
    <s v="Returning"/>
    <n v="215394.35"/>
    <x v="0"/>
  </r>
  <r>
    <n v="5016"/>
    <s v="BR01"/>
    <x v="1"/>
    <d v="2024-06-15T00:00:00"/>
    <s v="S002"/>
    <x v="1"/>
    <x v="2"/>
    <s v="Tomato Paste"/>
    <n v="2"/>
    <n v="37263.910000000003"/>
    <n v="5"/>
    <s v="Cash"/>
    <s v="Returning"/>
    <n v="70801.429000000004"/>
    <x v="1"/>
  </r>
  <r>
    <n v="5201"/>
    <s v="BR04"/>
    <x v="3"/>
    <d v="2024-03-29T00:00:00"/>
    <s v="S008"/>
    <x v="9"/>
    <x v="2"/>
    <s v="Cooking Oil (1L)"/>
    <n v="5"/>
    <n v="16702.240000000002"/>
    <s v=""/>
    <s v="Cash"/>
    <s v="New"/>
    <n v="83511.200000000012"/>
    <x v="0"/>
  </r>
  <r>
    <n v="5469"/>
    <s v="BR02"/>
    <x v="0"/>
    <d v="2024-08-03T00:00:00"/>
    <s v="S006"/>
    <x v="0"/>
    <x v="0"/>
    <s v="Wireless Earbuds"/>
    <n v="1"/>
    <n v="27625.34"/>
    <n v="10"/>
    <s v="Transfer"/>
    <s v="Returning"/>
    <n v="24862.806"/>
    <x v="2"/>
  </r>
  <r>
    <n v="5083"/>
    <s v="BR03"/>
    <x v="5"/>
    <d v="2024-05-13T00:00:00"/>
    <s v="S004"/>
    <x v="6"/>
    <x v="3"/>
    <s v="Shampoo"/>
    <m/>
    <n v="22341.62"/>
    <n v="15"/>
    <s v="Cash"/>
    <s v="Returning"/>
    <s v=""/>
    <x v="1"/>
  </r>
  <r>
    <n v="5391"/>
    <s v="BR03"/>
    <x v="5"/>
    <d v="2024-04-06T00:00:00"/>
    <s v="S003"/>
    <x v="3"/>
    <x v="0"/>
    <s v="Power Bank"/>
    <m/>
    <n v="40218.839999999997"/>
    <n v="5"/>
    <s v="Transfer"/>
    <s v="Returning"/>
    <s v=""/>
    <x v="0"/>
  </r>
  <r>
    <n v="5128"/>
    <s v="BR01"/>
    <x v="1"/>
    <d v="2024-03-26T00:00:00"/>
    <s v="S008"/>
    <x v="9"/>
    <x v="1"/>
    <s v="Kettle"/>
    <m/>
    <n v="36300.35"/>
    <n v="10"/>
    <s v="Cash"/>
    <s v="Returning"/>
    <s v=""/>
    <x v="1"/>
  </r>
  <r>
    <n v="5184"/>
    <s v="BR01"/>
    <x v="1"/>
    <d v="2024-01-14T00:00:00"/>
    <s v="S003"/>
    <x v="3"/>
    <x v="0"/>
    <s v="Power Bank"/>
    <m/>
    <n v="39457.17"/>
    <n v="5"/>
    <s v="Cash"/>
    <s v="New"/>
    <s v=""/>
    <x v="2"/>
  </r>
  <r>
    <n v="5244"/>
    <s v="BR01"/>
    <x v="1"/>
    <d v="2024-02-06T00:00:00"/>
    <s v="S005"/>
    <x v="2"/>
    <x v="2"/>
    <s v="Cooking Oil (1L)"/>
    <n v="3"/>
    <n v="30582.41"/>
    <n v="0"/>
    <s v="Card"/>
    <s v="Returning"/>
    <n v="91747.23"/>
    <x v="1"/>
  </r>
  <r>
    <n v="5281"/>
    <s v="BR01"/>
    <x v="1"/>
    <d v="2024-08-08T00:00:00"/>
    <s v="S008"/>
    <x v="9"/>
    <x v="2"/>
    <s v="Spaghetti Pack"/>
    <n v="1"/>
    <n v="20297.91"/>
    <n v="15"/>
    <s v="Cash"/>
    <s v="Returning"/>
    <n v="17253.2235"/>
    <x v="1"/>
  </r>
  <r>
    <n v="5261"/>
    <s v="BR02"/>
    <x v="0"/>
    <d v="2024-06-17T00:00:00"/>
    <s v="S008"/>
    <x v="9"/>
    <x v="3"/>
    <s v="Body Lotion"/>
    <n v="1"/>
    <s v=""/>
    <n v="5"/>
    <s v="Card"/>
    <s v="New"/>
    <s v=""/>
    <x v="2"/>
  </r>
  <r>
    <n v="5482"/>
    <s v="BR01"/>
    <x v="1"/>
    <d v="2024-03-08T00:00:00"/>
    <s v="S006"/>
    <x v="0"/>
    <x v="0"/>
    <s v="Power Bank"/>
    <n v="5"/>
    <n v="1293.1300000000001"/>
    <n v="10"/>
    <s v="Cash"/>
    <s v="New"/>
    <n v="5819.0850000000009"/>
    <x v="1"/>
  </r>
  <r>
    <n v="5320"/>
    <s v="BR02"/>
    <x v="0"/>
    <d v="2024-02-12T00:00:00"/>
    <s v="S004"/>
    <x v="6"/>
    <x v="0"/>
    <s v="Phone Charger"/>
    <n v="3"/>
    <n v="29090.720000000001"/>
    <n v="5"/>
    <s v="Card"/>
    <s v="Returning"/>
    <n v="82908.551999999996"/>
    <x v="0"/>
  </r>
  <r>
    <n v="5045"/>
    <s v="BR01"/>
    <x v="1"/>
    <d v="2024-04-08T00:00:00"/>
    <s v="S004"/>
    <x v="6"/>
    <x v="0"/>
    <s v="HDMI Cable"/>
    <m/>
    <n v="11704.83"/>
    <n v="10"/>
    <s v="Card"/>
    <s v="New"/>
    <s v=""/>
    <x v="1"/>
  </r>
  <r>
    <n v="5102"/>
    <s v="BR03"/>
    <x v="5"/>
    <d v="2024-07-26T00:00:00"/>
    <s v="S002"/>
    <x v="1"/>
    <x v="3"/>
    <s v="Toothpaste"/>
    <n v="3"/>
    <n v="6176.9"/>
    <s v=""/>
    <s v="Card"/>
    <s v="Returning"/>
    <n v="18530.699999999997"/>
    <x v="0"/>
  </r>
  <r>
    <n v="5182"/>
    <s v="BR05"/>
    <x v="4"/>
    <d v="2024-05-21T00:00:00"/>
    <s v="S005"/>
    <x v="2"/>
    <x v="3"/>
    <s v="Deodorant"/>
    <m/>
    <n v="19558"/>
    <s v=""/>
    <s v="Transfer"/>
    <s v="New"/>
    <s v=""/>
    <x v="1"/>
  </r>
  <r>
    <n v="5165"/>
    <s v="BR03"/>
    <x v="5"/>
    <d v="2024-07-25T00:00:00"/>
    <s v="S003"/>
    <x v="3"/>
    <x v="3"/>
    <s v="Body Lotion"/>
    <n v="2"/>
    <n v="25025.47"/>
    <n v="5"/>
    <s v="Card"/>
    <s v="New"/>
    <n v="47548.393000000004"/>
    <x v="1"/>
  </r>
  <r>
    <n v="5002"/>
    <s v="BR01"/>
    <x v="1"/>
    <d v="2024-06-06T00:00:00"/>
    <s v="S001"/>
    <x v="5"/>
    <x v="1"/>
    <s v="Non-stick Pan"/>
    <n v="1"/>
    <s v=""/>
    <n v="5"/>
    <s v="Card"/>
    <s v="New"/>
    <s v=""/>
    <x v="1"/>
  </r>
  <r>
    <n v="5202"/>
    <s v="BR04"/>
    <x v="3"/>
    <d v="2024-09-24T00:00:00"/>
    <s v="S001"/>
    <x v="5"/>
    <x v="3"/>
    <s v="Deodorant"/>
    <n v="4"/>
    <n v="5975.01"/>
    <n v="15"/>
    <s v="Card"/>
    <s v="New"/>
    <n v="20315.034"/>
    <x v="0"/>
  </r>
  <r>
    <n v="5250"/>
    <s v="BR01"/>
    <x v="1"/>
    <d v="2024-06-12T00:00:00"/>
    <s v="S007"/>
    <x v="4"/>
    <x v="0"/>
    <s v="Bluetooth Speaker"/>
    <n v="3"/>
    <s v=""/>
    <n v="15"/>
    <s v="Card"/>
    <s v="New"/>
    <s v=""/>
    <x v="2"/>
  </r>
  <r>
    <n v="5028"/>
    <s v="BR03"/>
    <x v="5"/>
    <d v="2024-01-24T00:00:00"/>
    <s v="S001"/>
    <x v="5"/>
    <x v="0"/>
    <s v="HDMI Cable"/>
    <n v="1"/>
    <n v="4259.58"/>
    <s v=""/>
    <s v="Cash"/>
    <s v="Returning"/>
    <n v="4259.58"/>
    <x v="0"/>
  </r>
  <r>
    <n v="5238"/>
    <s v="BR03"/>
    <x v="5"/>
    <d v="2024-08-29T00:00:00"/>
    <s v="S008"/>
    <x v="9"/>
    <x v="2"/>
    <s v="Sugar (1kg)"/>
    <n v="4"/>
    <n v="18436.919999999998"/>
    <n v="15"/>
    <s v="Cash"/>
    <s v="Returning"/>
    <n v="62685.527999999991"/>
    <x v="2"/>
  </r>
  <r>
    <n v="5495"/>
    <s v="BR01"/>
    <x v="1"/>
    <d v="2024-09-07T00:00:00"/>
    <s v="S001"/>
    <x v="5"/>
    <x v="2"/>
    <s v="Spaghetti Pack"/>
    <n v="5"/>
    <n v="43596.05"/>
    <n v="10"/>
    <s v="Transfer"/>
    <s v="New"/>
    <n v="196182.22500000001"/>
    <x v="1"/>
  </r>
  <r>
    <n v="5145"/>
    <s v="BR05"/>
    <x v="4"/>
    <d v="2024-04-11T00:00:00"/>
    <s v="S007"/>
    <x v="4"/>
    <x v="0"/>
    <s v="Phone Charger"/>
    <m/>
    <n v="1814.18"/>
    <s v=""/>
    <s v="Card"/>
    <s v="Returning"/>
    <s v=""/>
    <x v="1"/>
  </r>
  <r>
    <n v="5181"/>
    <s v="BR02"/>
    <x v="0"/>
    <d v="2024-06-23T00:00:00"/>
    <s v="S008"/>
    <x v="9"/>
    <x v="1"/>
    <s v="Storage Containers"/>
    <n v="3"/>
    <n v="41861.85"/>
    <n v="0"/>
    <s v="Cash"/>
    <s v="New"/>
    <n v="125585.54999999999"/>
    <x v="0"/>
  </r>
  <r>
    <n v="5498"/>
    <s v="BR05"/>
    <x v="4"/>
    <d v="2024-06-13T00:00:00"/>
    <s v="S008"/>
    <x v="9"/>
    <x v="0"/>
    <s v="HDMI Cable"/>
    <n v="4"/>
    <s v=""/>
    <n v="5"/>
    <s v="Card"/>
    <s v="Returning"/>
    <s v=""/>
    <x v="2"/>
  </r>
  <r>
    <n v="5010"/>
    <s v="BR05"/>
    <x v="4"/>
    <d v="2024-07-05T00:00:00"/>
    <s v="S003"/>
    <x v="3"/>
    <x v="0"/>
    <s v="HDMI Cable"/>
    <n v="1"/>
    <n v="39407.79"/>
    <s v=""/>
    <s v="Cash"/>
    <s v="New"/>
    <n v="39407.79"/>
    <x v="1"/>
  </r>
  <r>
    <n v="5241"/>
    <s v="BR04"/>
    <x v="3"/>
    <d v="2024-06-21T00:00:00"/>
    <s v="S003"/>
    <x v="3"/>
    <x v="2"/>
    <s v="Rice (5kg)"/>
    <n v="4"/>
    <n v="37951.86"/>
    <n v="15"/>
    <s v="Transfer"/>
    <s v="Returning"/>
    <n v="129036.32400000001"/>
    <x v="2"/>
  </r>
  <r>
    <n v="5216"/>
    <s v="BR05"/>
    <x v="4"/>
    <d v="2024-03-20T00:00:00"/>
    <s v="S005"/>
    <x v="2"/>
    <x v="3"/>
    <s v="Soap Bar"/>
    <n v="2"/>
    <n v="42577.27"/>
    <n v="15"/>
    <s v="Card"/>
    <s v="New"/>
    <n v="72381.358999999997"/>
    <x v="0"/>
  </r>
  <r>
    <n v="5471"/>
    <s v="BR01"/>
    <x v="1"/>
    <d v="2024-07-18T00:00:00"/>
    <s v="S002"/>
    <x v="1"/>
    <x v="1"/>
    <s v="Non-stick Pan"/>
    <n v="1"/>
    <n v="35610.53"/>
    <s v=""/>
    <s v="Card"/>
    <s v="New"/>
    <n v="35610.53"/>
    <x v="1"/>
  </r>
  <r>
    <n v="5360"/>
    <s v="BR03"/>
    <x v="5"/>
    <d v="2024-09-23T00:00:00"/>
    <s v="S003"/>
    <x v="3"/>
    <x v="0"/>
    <s v="Wireless Earbuds"/>
    <n v="5"/>
    <n v="1977.12"/>
    <n v="0"/>
    <s v="Card"/>
    <s v="New"/>
    <n v="9885.5999999999985"/>
    <x v="2"/>
  </r>
  <r>
    <n v="5284"/>
    <s v="BR01"/>
    <x v="1"/>
    <d v="2024-01-24T00:00:00"/>
    <s v="S004"/>
    <x v="6"/>
    <x v="2"/>
    <s v="Sugar (1kg)"/>
    <n v="2"/>
    <n v="16930.04"/>
    <n v="5"/>
    <s v="Card"/>
    <s v="Returning"/>
    <n v="32167.076000000001"/>
    <x v="0"/>
  </r>
  <r>
    <n v="5249"/>
    <s v="BR02"/>
    <x v="0"/>
    <d v="2024-06-10T00:00:00"/>
    <s v="S005"/>
    <x v="2"/>
    <x v="0"/>
    <s v="Phone Charger"/>
    <n v="1"/>
    <n v="16248.85"/>
    <s v=""/>
    <s v="Cash"/>
    <s v="Returning"/>
    <n v="16248.85"/>
    <x v="1"/>
  </r>
  <r>
    <n v="5474"/>
    <s v="BR02"/>
    <x v="0"/>
    <d v="2024-08-06T00:00:00"/>
    <s v="S004"/>
    <x v="6"/>
    <x v="3"/>
    <s v="Shampoo"/>
    <m/>
    <s v=""/>
    <n v="10"/>
    <s v="Card"/>
    <s v="New"/>
    <s v=""/>
    <x v="1"/>
  </r>
  <r>
    <n v="5251"/>
    <s v="BR02"/>
    <x v="0"/>
    <d v="2024-07-15T00:00:00"/>
    <s v="S005"/>
    <x v="2"/>
    <x v="1"/>
    <s v="Cutlery Set"/>
    <m/>
    <n v="1444.22"/>
    <s v=""/>
    <s v="Card"/>
    <s v="Returning"/>
    <s v=""/>
    <x v="2"/>
  </r>
  <r>
    <n v="5294"/>
    <s v="BR02"/>
    <x v="0"/>
    <d v="2024-07-27T00:00:00"/>
    <s v="S001"/>
    <x v="5"/>
    <x v="0"/>
    <s v="HDMI Cable"/>
    <m/>
    <n v="6509.34"/>
    <n v="0"/>
    <s v="Card"/>
    <s v="Returning"/>
    <s v=""/>
    <x v="1"/>
  </r>
  <r>
    <n v="5331"/>
    <s v="BR01"/>
    <x v="1"/>
    <d v="2024-07-01T00:00:00"/>
    <s v="S007"/>
    <x v="4"/>
    <x v="0"/>
    <s v="HDMI Cable"/>
    <n v="5"/>
    <n v="31344.46"/>
    <s v=""/>
    <s v="Card"/>
    <s v="Returning"/>
    <n v="156722.29999999999"/>
    <x v="1"/>
  </r>
  <r>
    <n v="5328"/>
    <s v="BR05"/>
    <x v="4"/>
    <d v="2024-01-15T00:00:00"/>
    <s v="S002"/>
    <x v="1"/>
    <x v="3"/>
    <s v="Deodorant"/>
    <n v="2"/>
    <n v="22690.86"/>
    <n v="15"/>
    <s v="Card"/>
    <s v="New"/>
    <n v="38574.462"/>
    <x v="0"/>
  </r>
  <r>
    <n v="5155"/>
    <s v="BR04"/>
    <x v="3"/>
    <d v="2024-07-24T00:00:00"/>
    <s v="S003"/>
    <x v="3"/>
    <x v="0"/>
    <s v="HDMI Cable"/>
    <m/>
    <n v="31247.43"/>
    <s v=""/>
    <s v="Transfer"/>
    <s v="New"/>
    <s v=""/>
    <x v="2"/>
  </r>
  <r>
    <n v="5017"/>
    <s v="BR02"/>
    <x v="0"/>
    <d v="2024-01-10T00:00:00"/>
    <s v="S006"/>
    <x v="0"/>
    <x v="1"/>
    <s v="Kettle"/>
    <n v="5"/>
    <n v="19217.96"/>
    <s v=""/>
    <s v="Card"/>
    <s v="Returning"/>
    <n v="96089.799999999988"/>
    <x v="1"/>
  </r>
  <r>
    <n v="5440"/>
    <s v="BR05"/>
    <x v="4"/>
    <d v="2024-05-15T00:00:00"/>
    <s v="S007"/>
    <x v="4"/>
    <x v="3"/>
    <s v="Toothpaste"/>
    <n v="3"/>
    <n v="44935.18"/>
    <n v="5"/>
    <s v="Card"/>
    <s v="Returning"/>
    <n v="128065.26300000001"/>
    <x v="0"/>
  </r>
  <r>
    <n v="5132"/>
    <s v="BR03"/>
    <x v="5"/>
    <d v="2024-08-20T00:00:00"/>
    <s v="S001"/>
    <x v="5"/>
    <x v="3"/>
    <s v="Shampoo"/>
    <n v="1"/>
    <n v="14933.59"/>
    <n v="5"/>
    <s v="Card"/>
    <s v="Returning"/>
    <n v="14186.9105"/>
    <x v="0"/>
  </r>
  <r>
    <n v="5265"/>
    <s v="BR01"/>
    <x v="1"/>
    <d v="2024-05-10T00:00:00"/>
    <s v="S100"/>
    <x v="8"/>
    <x v="0"/>
    <s v="Power Bank"/>
    <m/>
    <n v="22469.34"/>
    <s v=""/>
    <s v="Transfer"/>
    <s v="New"/>
    <s v=""/>
    <x v="1"/>
  </r>
  <r>
    <n v="5112"/>
    <s v="BR05"/>
    <x v="4"/>
    <d v="2024-04-15T00:00:00"/>
    <s v="S002"/>
    <x v="1"/>
    <x v="1"/>
    <s v="Storage Containers"/>
    <m/>
    <n v="41961.66"/>
    <s v=""/>
    <s v="Transfer"/>
    <s v="Returning"/>
    <s v=""/>
    <x v="0"/>
  </r>
  <r>
    <n v="5060"/>
    <s v="BR02"/>
    <x v="0"/>
    <d v="2024-03-24T00:00:00"/>
    <s v="S004"/>
    <x v="6"/>
    <x v="0"/>
    <s v="Bluetooth Speaker"/>
    <n v="1"/>
    <n v="18663.57"/>
    <s v=""/>
    <s v="Card"/>
    <s v="New"/>
    <n v="18663.57"/>
    <x v="0"/>
  </r>
  <r>
    <n v="5053"/>
    <s v="BR05"/>
    <x v="4"/>
    <d v="2024-08-26T00:00:00"/>
    <s v="S006"/>
    <x v="0"/>
    <x v="3"/>
    <s v="Body Lotion"/>
    <m/>
    <n v="34126.53"/>
    <n v="10"/>
    <s v="Cash"/>
    <s v="New"/>
    <s v=""/>
    <x v="0"/>
  </r>
  <r>
    <n v="5194"/>
    <s v="BR04"/>
    <x v="3"/>
    <d v="2024-04-28T00:00:00"/>
    <s v="S006"/>
    <x v="0"/>
    <x v="1"/>
    <s v="Blender"/>
    <n v="1"/>
    <n v="26544.69"/>
    <n v="10"/>
    <s v="Card"/>
    <s v="Returning"/>
    <n v="23890.220999999998"/>
    <x v="1"/>
  </r>
  <r>
    <n v="5300"/>
    <s v="BR01"/>
    <x v="1"/>
    <d v="2024-01-14T00:00:00"/>
    <s v="S006"/>
    <x v="0"/>
    <x v="1"/>
    <s v="Storage Containers"/>
    <n v="2"/>
    <n v="32960.15"/>
    <n v="10"/>
    <s v="Card"/>
    <s v="New"/>
    <n v="59328.270000000004"/>
    <x v="1"/>
  </r>
  <r>
    <n v="5236"/>
    <s v="BR03"/>
    <x v="5"/>
    <d v="2024-06-14T00:00:00"/>
    <s v="S001"/>
    <x v="5"/>
    <x v="1"/>
    <s v="Kettle"/>
    <m/>
    <s v=""/>
    <n v="15"/>
    <s v="Cash"/>
    <s v="Returning"/>
    <s v=""/>
    <x v="0"/>
  </r>
  <r>
    <n v="5349"/>
    <s v="BR02"/>
    <x v="0"/>
    <d v="2024-07-18T00:00:00"/>
    <s v="S004"/>
    <x v="6"/>
    <x v="2"/>
    <s v="Spaghetti Pack"/>
    <n v="1"/>
    <s v=""/>
    <s v=""/>
    <s v="Cash"/>
    <s v="New"/>
    <s v=""/>
    <x v="0"/>
  </r>
  <r>
    <n v="5046"/>
    <s v="BR05"/>
    <x v="4"/>
    <d v="2024-06-06T00:00:00"/>
    <s v="S100"/>
    <x v="8"/>
    <x v="1"/>
    <s v="Blender"/>
    <m/>
    <n v="37853.800000000003"/>
    <s v=""/>
    <s v="Cash"/>
    <s v="New"/>
    <s v=""/>
    <x v="0"/>
  </r>
  <r>
    <n v="5403"/>
    <s v="BR04"/>
    <x v="3"/>
    <d v="2024-07-24T00:00:00"/>
    <s v="S002"/>
    <x v="1"/>
    <x v="0"/>
    <s v="HDMI Cable"/>
    <n v="2"/>
    <s v=""/>
    <s v=""/>
    <s v="Card"/>
    <s v="New"/>
    <s v=""/>
    <x v="0"/>
  </r>
  <r>
    <n v="5118"/>
    <s v="BR05"/>
    <x v="4"/>
    <d v="2024-04-11T00:00:00"/>
    <s v="S001"/>
    <x v="5"/>
    <x v="3"/>
    <s v="Soap Bar"/>
    <m/>
    <n v="34393.42"/>
    <n v="5"/>
    <s v="Cash"/>
    <s v="Returning"/>
    <s v="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23:O27" firstHeaderRow="1" firstDataRow="1" firstDataCol="1"/>
  <pivotFields count="15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2"/>
        <item x="0"/>
        <item x="1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" fld="13" baseField="14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18:C30" firstHeaderRow="1" firstDataRow="1" firstDataCol="1"/>
  <pivotFields count="15">
    <pivotField showAll="0"/>
    <pivotField showAll="0"/>
    <pivotField showAll="0"/>
    <pivotField numFmtId="14" showAll="0"/>
    <pivotField showAll="0"/>
    <pivotField axis="axisRow" showAll="0">
      <items count="17">
        <item m="1" x="11"/>
        <item x="5"/>
        <item x="6"/>
        <item x="2"/>
        <item x="3"/>
        <item x="0"/>
        <item x="4"/>
        <item m="1" x="13"/>
        <item x="9"/>
        <item x="1"/>
        <item m="1" x="14"/>
        <item m="1" x="15"/>
        <item m="1" x="12"/>
        <item x="7"/>
        <item x="8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12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3"/>
    </i>
    <i>
      <x v="14"/>
    </i>
    <i>
      <x v="15"/>
    </i>
    <i t="grand">
      <x/>
    </i>
  </rowItems>
  <colItems count="1">
    <i/>
  </colItems>
  <dataFields count="1">
    <dataField name="Sum of Total_Sale" fld="13" showDataAs="percentOfTotal" baseField="5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M2:N7" firstHeaderRow="1" firstDataRow="1" firstDataCol="1"/>
  <pivotFields count="15">
    <pivotField showAll="0"/>
    <pivotField showAll="0"/>
    <pivotField showAll="0"/>
    <pivotField numFmtId="14" showAll="0"/>
    <pivotField showAll="0"/>
    <pivotField showAll="0" defaultSubtota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" fld="13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B2:C11" firstHeaderRow="1" firstDataRow="1" firstDataCol="1"/>
  <pivotFields count="15">
    <pivotField showAll="0"/>
    <pivotField showAll="0"/>
    <pivotField axis="axisRow" showAll="0">
      <items count="14">
        <item m="1" x="8"/>
        <item x="4"/>
        <item x="5"/>
        <item x="1"/>
        <item x="3"/>
        <item x="0"/>
        <item m="1" x="11"/>
        <item m="1" x="10"/>
        <item m="1" x="9"/>
        <item m="1" x="12"/>
        <item x="2"/>
        <item x="6"/>
        <item x="7"/>
        <item t="default"/>
      </items>
    </pivotField>
    <pivotField numFmtId="14"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9">
    <i>
      <x v="1"/>
    </i>
    <i>
      <x v="2"/>
    </i>
    <i>
      <x v="3"/>
    </i>
    <i>
      <x v="4"/>
    </i>
    <i>
      <x v="5"/>
    </i>
    <i>
      <x v="10"/>
    </i>
    <i>
      <x v="11"/>
    </i>
    <i>
      <x v="12"/>
    </i>
    <i t="grand">
      <x/>
    </i>
  </rowItems>
  <colItems count="1">
    <i/>
  </colItems>
  <dataFields count="1">
    <dataField name="Sum of Total_Sale" fld="13" baseField="2" baseItem="1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9"/>
  <sheetViews>
    <sheetView workbookViewId="0">
      <selection activeCell="C2" sqref="C2"/>
    </sheetView>
  </sheetViews>
  <sheetFormatPr defaultRowHeight="14.5" x14ac:dyDescent="0.35"/>
  <cols>
    <col min="3" max="3" width="17.453125" bestFit="1" customWidth="1"/>
    <col min="5" max="5" width="15.54296875" bestFit="1" customWidth="1"/>
    <col min="10" max="10" width="13.3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5453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5</v>
      </c>
      <c r="H2" t="s">
        <v>18</v>
      </c>
      <c r="I2" t="s">
        <v>19</v>
      </c>
      <c r="J2" t="s">
        <v>20</v>
      </c>
      <c r="K2" t="s">
        <v>21</v>
      </c>
      <c r="M2" t="s">
        <v>22</v>
      </c>
    </row>
    <row r="3" spans="1:13" x14ac:dyDescent="0.35">
      <c r="A3">
        <v>5302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H3" t="s">
        <v>28</v>
      </c>
      <c r="I3" t="s">
        <v>29</v>
      </c>
      <c r="J3" t="s">
        <v>30</v>
      </c>
      <c r="K3" t="s">
        <v>21</v>
      </c>
      <c r="M3" t="s">
        <v>31</v>
      </c>
    </row>
    <row r="4" spans="1:13" x14ac:dyDescent="0.35">
      <c r="A4">
        <v>5026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H4" t="s">
        <v>37</v>
      </c>
      <c r="I4" t="s">
        <v>19</v>
      </c>
      <c r="J4" t="s">
        <v>20</v>
      </c>
      <c r="K4" t="s">
        <v>38</v>
      </c>
      <c r="M4" t="s">
        <v>39</v>
      </c>
    </row>
    <row r="5" spans="1:13" x14ac:dyDescent="0.35">
      <c r="A5">
        <v>5001</v>
      </c>
      <c r="B5" t="s">
        <v>40</v>
      </c>
      <c r="C5" t="s">
        <v>41</v>
      </c>
      <c r="D5" t="s">
        <v>25</v>
      </c>
      <c r="E5" t="s">
        <v>16</v>
      </c>
      <c r="F5" t="s">
        <v>42</v>
      </c>
      <c r="G5">
        <v>5</v>
      </c>
      <c r="H5" t="s">
        <v>18</v>
      </c>
      <c r="I5" t="s">
        <v>43</v>
      </c>
      <c r="J5" t="s">
        <v>30</v>
      </c>
      <c r="K5" t="s">
        <v>44</v>
      </c>
      <c r="M5" t="s">
        <v>39</v>
      </c>
    </row>
    <row r="6" spans="1:13" x14ac:dyDescent="0.35">
      <c r="A6">
        <v>5380</v>
      </c>
      <c r="B6" t="s">
        <v>23</v>
      </c>
      <c r="C6" t="s">
        <v>45</v>
      </c>
      <c r="D6" t="s">
        <v>25</v>
      </c>
      <c r="E6" t="s">
        <v>26</v>
      </c>
      <c r="F6" t="s">
        <v>46</v>
      </c>
      <c r="G6">
        <v>1</v>
      </c>
      <c r="H6" t="s">
        <v>18</v>
      </c>
      <c r="I6" t="s">
        <v>29</v>
      </c>
      <c r="J6" t="s">
        <v>47</v>
      </c>
      <c r="K6" t="s">
        <v>48</v>
      </c>
    </row>
    <row r="7" spans="1:13" x14ac:dyDescent="0.35">
      <c r="A7">
        <v>5214</v>
      </c>
      <c r="B7" t="s">
        <v>49</v>
      </c>
      <c r="C7" t="s">
        <v>50</v>
      </c>
      <c r="D7" t="s">
        <v>51</v>
      </c>
      <c r="E7" t="s">
        <v>26</v>
      </c>
      <c r="F7" t="s">
        <v>52</v>
      </c>
      <c r="H7" t="s">
        <v>53</v>
      </c>
      <c r="I7" t="s">
        <v>54</v>
      </c>
      <c r="J7" t="s">
        <v>47</v>
      </c>
      <c r="K7" t="s">
        <v>48</v>
      </c>
      <c r="M7" t="s">
        <v>39</v>
      </c>
    </row>
    <row r="8" spans="1:13" x14ac:dyDescent="0.35">
      <c r="A8">
        <v>5410</v>
      </c>
      <c r="B8" t="s">
        <v>55</v>
      </c>
      <c r="C8" t="s">
        <v>56</v>
      </c>
      <c r="D8" t="s">
        <v>57</v>
      </c>
      <c r="E8" t="s">
        <v>35</v>
      </c>
      <c r="F8" t="s">
        <v>58</v>
      </c>
      <c r="G8">
        <v>5</v>
      </c>
      <c r="H8" t="s">
        <v>59</v>
      </c>
      <c r="I8" t="s">
        <v>19</v>
      </c>
      <c r="J8" t="s">
        <v>60</v>
      </c>
      <c r="K8" t="s">
        <v>61</v>
      </c>
      <c r="M8" t="s">
        <v>22</v>
      </c>
    </row>
    <row r="9" spans="1:13" x14ac:dyDescent="0.35">
      <c r="A9">
        <v>5350</v>
      </c>
      <c r="B9" t="s">
        <v>62</v>
      </c>
      <c r="C9" t="s">
        <v>63</v>
      </c>
      <c r="D9" t="s">
        <v>15</v>
      </c>
      <c r="E9" t="s">
        <v>64</v>
      </c>
      <c r="F9" t="s">
        <v>65</v>
      </c>
      <c r="G9">
        <v>5</v>
      </c>
      <c r="H9" t="s">
        <v>66</v>
      </c>
      <c r="I9" t="s">
        <v>19</v>
      </c>
      <c r="J9" t="s">
        <v>30</v>
      </c>
      <c r="K9" t="s">
        <v>44</v>
      </c>
      <c r="M9" t="s">
        <v>67</v>
      </c>
    </row>
    <row r="10" spans="1:13" x14ac:dyDescent="0.35">
      <c r="A10">
        <v>5445</v>
      </c>
      <c r="B10" t="s">
        <v>68</v>
      </c>
      <c r="C10" t="s">
        <v>69</v>
      </c>
      <c r="D10" t="s">
        <v>57</v>
      </c>
      <c r="E10" t="s">
        <v>26</v>
      </c>
      <c r="F10" t="s">
        <v>52</v>
      </c>
      <c r="G10">
        <v>1</v>
      </c>
      <c r="H10" t="s">
        <v>70</v>
      </c>
      <c r="I10" t="s">
        <v>71</v>
      </c>
      <c r="J10" t="s">
        <v>20</v>
      </c>
      <c r="K10" t="s">
        <v>72</v>
      </c>
      <c r="M10" t="s">
        <v>73</v>
      </c>
    </row>
    <row r="11" spans="1:13" x14ac:dyDescent="0.35">
      <c r="A11">
        <v>5227</v>
      </c>
      <c r="B11" t="s">
        <v>74</v>
      </c>
      <c r="C11" t="s">
        <v>75</v>
      </c>
      <c r="D11" t="s">
        <v>76</v>
      </c>
      <c r="E11" t="s">
        <v>64</v>
      </c>
      <c r="F11" t="s">
        <v>77</v>
      </c>
      <c r="H11" t="s">
        <v>18</v>
      </c>
      <c r="I11" t="s">
        <v>29</v>
      </c>
      <c r="J11" t="s">
        <v>78</v>
      </c>
      <c r="K11" t="s">
        <v>44</v>
      </c>
      <c r="M11" t="s">
        <v>79</v>
      </c>
    </row>
    <row r="12" spans="1:13" x14ac:dyDescent="0.35">
      <c r="A12">
        <v>5478</v>
      </c>
      <c r="B12" t="s">
        <v>80</v>
      </c>
      <c r="C12" t="s">
        <v>81</v>
      </c>
      <c r="D12" t="s">
        <v>51</v>
      </c>
      <c r="E12" t="s">
        <v>16</v>
      </c>
      <c r="F12" t="s">
        <v>82</v>
      </c>
      <c r="H12" t="s">
        <v>83</v>
      </c>
      <c r="I12" t="s">
        <v>71</v>
      </c>
      <c r="J12" t="s">
        <v>78</v>
      </c>
      <c r="K12" t="s">
        <v>84</v>
      </c>
      <c r="M12" t="s">
        <v>67</v>
      </c>
    </row>
    <row r="13" spans="1:13" x14ac:dyDescent="0.35">
      <c r="A13">
        <v>5439</v>
      </c>
      <c r="B13" t="s">
        <v>40</v>
      </c>
      <c r="C13" t="s">
        <v>85</v>
      </c>
      <c r="D13" t="s">
        <v>86</v>
      </c>
      <c r="E13" t="s">
        <v>64</v>
      </c>
      <c r="F13" t="s">
        <v>65</v>
      </c>
      <c r="G13">
        <v>3</v>
      </c>
      <c r="H13" t="s">
        <v>18</v>
      </c>
      <c r="I13" t="s">
        <v>54</v>
      </c>
      <c r="J13" t="s">
        <v>87</v>
      </c>
      <c r="K13" t="s">
        <v>38</v>
      </c>
      <c r="M13" t="s">
        <v>22</v>
      </c>
    </row>
    <row r="14" spans="1:13" x14ac:dyDescent="0.35">
      <c r="A14">
        <v>5058</v>
      </c>
      <c r="B14" t="s">
        <v>88</v>
      </c>
      <c r="C14" t="s">
        <v>89</v>
      </c>
      <c r="D14" t="s">
        <v>90</v>
      </c>
      <c r="E14" t="s">
        <v>26</v>
      </c>
      <c r="F14" t="s">
        <v>46</v>
      </c>
      <c r="G14">
        <v>3</v>
      </c>
      <c r="H14" t="s">
        <v>18</v>
      </c>
      <c r="I14" t="s">
        <v>18</v>
      </c>
      <c r="J14" t="s">
        <v>47</v>
      </c>
      <c r="K14" t="s">
        <v>38</v>
      </c>
      <c r="M14" t="s">
        <v>79</v>
      </c>
    </row>
    <row r="15" spans="1:13" x14ac:dyDescent="0.35">
      <c r="A15">
        <v>5384</v>
      </c>
      <c r="B15" t="s">
        <v>68</v>
      </c>
      <c r="C15" t="s">
        <v>91</v>
      </c>
      <c r="D15" t="s">
        <v>86</v>
      </c>
      <c r="E15" t="s">
        <v>26</v>
      </c>
      <c r="F15" t="s">
        <v>27</v>
      </c>
      <c r="G15">
        <v>2</v>
      </c>
      <c r="H15" t="s">
        <v>92</v>
      </c>
      <c r="I15" t="s">
        <v>43</v>
      </c>
      <c r="J15" t="s">
        <v>60</v>
      </c>
      <c r="K15" t="s">
        <v>48</v>
      </c>
      <c r="M15" t="s">
        <v>22</v>
      </c>
    </row>
    <row r="16" spans="1:13" x14ac:dyDescent="0.35">
      <c r="A16">
        <v>5101</v>
      </c>
      <c r="B16" t="s">
        <v>93</v>
      </c>
      <c r="C16" t="s">
        <v>94</v>
      </c>
      <c r="D16" t="s">
        <v>86</v>
      </c>
      <c r="E16" t="s">
        <v>64</v>
      </c>
      <c r="F16" t="s">
        <v>77</v>
      </c>
      <c r="G16">
        <v>3</v>
      </c>
      <c r="H16" t="s">
        <v>95</v>
      </c>
      <c r="I16" t="s">
        <v>19</v>
      </c>
      <c r="J16" t="s">
        <v>78</v>
      </c>
      <c r="K16" t="s">
        <v>84</v>
      </c>
      <c r="M16" t="s">
        <v>79</v>
      </c>
    </row>
    <row r="17" spans="1:13" x14ac:dyDescent="0.35">
      <c r="A17">
        <v>5176</v>
      </c>
      <c r="B17" t="s">
        <v>96</v>
      </c>
      <c r="C17" t="s">
        <v>97</v>
      </c>
      <c r="D17" t="s">
        <v>98</v>
      </c>
      <c r="E17" t="s">
        <v>35</v>
      </c>
      <c r="F17" t="s">
        <v>99</v>
      </c>
      <c r="G17">
        <v>1</v>
      </c>
      <c r="H17" t="s">
        <v>18</v>
      </c>
      <c r="I17" t="s">
        <v>54</v>
      </c>
      <c r="J17" t="s">
        <v>60</v>
      </c>
      <c r="K17" t="s">
        <v>72</v>
      </c>
      <c r="M17" t="s">
        <v>22</v>
      </c>
    </row>
    <row r="18" spans="1:13" x14ac:dyDescent="0.35">
      <c r="A18">
        <v>5310</v>
      </c>
      <c r="B18" t="s">
        <v>100</v>
      </c>
      <c r="C18" t="s">
        <v>101</v>
      </c>
      <c r="D18" t="s">
        <v>51</v>
      </c>
      <c r="E18" t="s">
        <v>35</v>
      </c>
      <c r="F18" t="s">
        <v>58</v>
      </c>
      <c r="H18" t="s">
        <v>18</v>
      </c>
      <c r="I18" t="s">
        <v>71</v>
      </c>
      <c r="J18" t="s">
        <v>87</v>
      </c>
      <c r="K18" t="s">
        <v>21</v>
      </c>
      <c r="M18" t="s">
        <v>22</v>
      </c>
    </row>
    <row r="19" spans="1:13" x14ac:dyDescent="0.35">
      <c r="A19">
        <v>5167</v>
      </c>
      <c r="B19" t="s">
        <v>102</v>
      </c>
      <c r="C19" t="s">
        <v>103</v>
      </c>
      <c r="D19" t="s">
        <v>57</v>
      </c>
      <c r="E19" t="s">
        <v>35</v>
      </c>
      <c r="F19" t="s">
        <v>36</v>
      </c>
      <c r="G19">
        <v>1</v>
      </c>
      <c r="H19" t="s">
        <v>104</v>
      </c>
      <c r="I19" t="s">
        <v>71</v>
      </c>
      <c r="J19" t="s">
        <v>78</v>
      </c>
      <c r="K19" t="s">
        <v>38</v>
      </c>
      <c r="M19" t="s">
        <v>67</v>
      </c>
    </row>
    <row r="20" spans="1:13" x14ac:dyDescent="0.35">
      <c r="A20">
        <v>5217</v>
      </c>
      <c r="B20" t="s">
        <v>74</v>
      </c>
      <c r="C20" t="s">
        <v>105</v>
      </c>
      <c r="D20" t="s">
        <v>51</v>
      </c>
      <c r="E20" t="s">
        <v>35</v>
      </c>
      <c r="F20" t="s">
        <v>99</v>
      </c>
      <c r="G20">
        <v>4</v>
      </c>
      <c r="H20" t="s">
        <v>106</v>
      </c>
      <c r="I20" t="s">
        <v>29</v>
      </c>
      <c r="J20" t="s">
        <v>47</v>
      </c>
      <c r="K20" t="s">
        <v>21</v>
      </c>
      <c r="M20" t="s">
        <v>31</v>
      </c>
    </row>
    <row r="21" spans="1:13" x14ac:dyDescent="0.35">
      <c r="A21">
        <v>5007</v>
      </c>
      <c r="B21" t="s">
        <v>40</v>
      </c>
      <c r="C21" t="s">
        <v>107</v>
      </c>
      <c r="D21" t="s">
        <v>108</v>
      </c>
      <c r="E21" t="s">
        <v>16</v>
      </c>
      <c r="F21" t="s">
        <v>109</v>
      </c>
      <c r="G21">
        <v>5</v>
      </c>
      <c r="H21" t="s">
        <v>18</v>
      </c>
      <c r="J21" t="s">
        <v>110</v>
      </c>
      <c r="K21" t="s">
        <v>61</v>
      </c>
      <c r="M21" t="s">
        <v>67</v>
      </c>
    </row>
    <row r="22" spans="1:13" x14ac:dyDescent="0.35">
      <c r="A22">
        <v>5363</v>
      </c>
      <c r="B22" t="s">
        <v>68</v>
      </c>
      <c r="C22" t="s">
        <v>111</v>
      </c>
      <c r="D22" t="s">
        <v>51</v>
      </c>
      <c r="E22" t="s">
        <v>26</v>
      </c>
      <c r="F22" t="s">
        <v>112</v>
      </c>
      <c r="G22">
        <v>4</v>
      </c>
      <c r="H22" t="s">
        <v>113</v>
      </c>
      <c r="I22" t="s">
        <v>19</v>
      </c>
      <c r="J22" t="s">
        <v>114</v>
      </c>
      <c r="K22" t="s">
        <v>21</v>
      </c>
    </row>
    <row r="23" spans="1:13" x14ac:dyDescent="0.35">
      <c r="A23">
        <v>5271</v>
      </c>
      <c r="B23" t="s">
        <v>80</v>
      </c>
      <c r="C23" t="s">
        <v>115</v>
      </c>
      <c r="D23" t="s">
        <v>86</v>
      </c>
      <c r="E23" t="s">
        <v>64</v>
      </c>
      <c r="F23" t="s">
        <v>116</v>
      </c>
      <c r="G23">
        <v>5</v>
      </c>
      <c r="H23" t="s">
        <v>18</v>
      </c>
      <c r="I23" t="s">
        <v>71</v>
      </c>
      <c r="J23" t="s">
        <v>20</v>
      </c>
      <c r="K23" t="s">
        <v>84</v>
      </c>
      <c r="M23" t="s">
        <v>31</v>
      </c>
    </row>
    <row r="24" spans="1:13" x14ac:dyDescent="0.35">
      <c r="A24">
        <v>5235</v>
      </c>
      <c r="B24" t="s">
        <v>117</v>
      </c>
      <c r="C24" t="s">
        <v>118</v>
      </c>
      <c r="D24" t="s">
        <v>108</v>
      </c>
      <c r="E24" t="s">
        <v>16</v>
      </c>
      <c r="F24" t="s">
        <v>42</v>
      </c>
      <c r="G24">
        <v>1</v>
      </c>
      <c r="H24" t="s">
        <v>119</v>
      </c>
      <c r="I24" t="s">
        <v>54</v>
      </c>
      <c r="J24" t="s">
        <v>110</v>
      </c>
      <c r="K24" t="s">
        <v>38</v>
      </c>
      <c r="M24" t="s">
        <v>22</v>
      </c>
    </row>
    <row r="25" spans="1:13" x14ac:dyDescent="0.35">
      <c r="A25">
        <v>5116</v>
      </c>
      <c r="B25" t="s">
        <v>120</v>
      </c>
      <c r="C25" t="s">
        <v>121</v>
      </c>
      <c r="D25" t="s">
        <v>15</v>
      </c>
      <c r="E25" t="s">
        <v>35</v>
      </c>
      <c r="F25" t="s">
        <v>58</v>
      </c>
      <c r="G25">
        <v>1</v>
      </c>
      <c r="H25" t="s">
        <v>18</v>
      </c>
      <c r="I25" t="s">
        <v>43</v>
      </c>
      <c r="J25" t="s">
        <v>30</v>
      </c>
      <c r="K25" t="s">
        <v>72</v>
      </c>
      <c r="M25" t="s">
        <v>31</v>
      </c>
    </row>
    <row r="26" spans="1:13" x14ac:dyDescent="0.35">
      <c r="A26">
        <v>5353</v>
      </c>
      <c r="B26" t="s">
        <v>74</v>
      </c>
      <c r="C26" t="s">
        <v>122</v>
      </c>
      <c r="D26" t="s">
        <v>108</v>
      </c>
      <c r="E26" t="s">
        <v>26</v>
      </c>
      <c r="F26" t="s">
        <v>52</v>
      </c>
      <c r="G26">
        <v>1</v>
      </c>
      <c r="H26" t="s">
        <v>18</v>
      </c>
      <c r="I26" t="s">
        <v>71</v>
      </c>
      <c r="J26" t="s">
        <v>114</v>
      </c>
      <c r="K26" t="s">
        <v>84</v>
      </c>
    </row>
    <row r="27" spans="1:13" x14ac:dyDescent="0.35">
      <c r="A27">
        <v>5338</v>
      </c>
      <c r="B27" t="s">
        <v>74</v>
      </c>
      <c r="C27" t="s">
        <v>123</v>
      </c>
      <c r="D27" t="s">
        <v>51</v>
      </c>
      <c r="E27" t="s">
        <v>35</v>
      </c>
      <c r="F27" t="s">
        <v>58</v>
      </c>
      <c r="H27" t="s">
        <v>18</v>
      </c>
      <c r="I27" t="s">
        <v>71</v>
      </c>
      <c r="J27" t="s">
        <v>47</v>
      </c>
      <c r="K27" t="s">
        <v>21</v>
      </c>
      <c r="M27" t="s">
        <v>22</v>
      </c>
    </row>
    <row r="28" spans="1:13" x14ac:dyDescent="0.35">
      <c r="A28">
        <v>5343</v>
      </c>
      <c r="B28" t="s">
        <v>32</v>
      </c>
      <c r="C28" t="s">
        <v>124</v>
      </c>
      <c r="D28" t="s">
        <v>15</v>
      </c>
      <c r="E28" t="s">
        <v>16</v>
      </c>
      <c r="F28" t="s">
        <v>42</v>
      </c>
      <c r="G28">
        <v>3</v>
      </c>
      <c r="H28" t="s">
        <v>18</v>
      </c>
      <c r="I28" t="s">
        <v>29</v>
      </c>
      <c r="J28" t="s">
        <v>110</v>
      </c>
      <c r="K28" t="s">
        <v>44</v>
      </c>
      <c r="M28" t="s">
        <v>79</v>
      </c>
    </row>
    <row r="29" spans="1:13" x14ac:dyDescent="0.35">
      <c r="A29">
        <v>5372</v>
      </c>
      <c r="B29" t="s">
        <v>23</v>
      </c>
      <c r="C29" t="s">
        <v>125</v>
      </c>
      <c r="D29" t="s">
        <v>108</v>
      </c>
      <c r="E29" t="s">
        <v>26</v>
      </c>
      <c r="F29" t="s">
        <v>112</v>
      </c>
      <c r="G29">
        <v>4</v>
      </c>
      <c r="H29" t="s">
        <v>18</v>
      </c>
      <c r="I29" t="s">
        <v>54</v>
      </c>
      <c r="J29" t="s">
        <v>20</v>
      </c>
      <c r="K29" t="s">
        <v>48</v>
      </c>
      <c r="M29" t="s">
        <v>73</v>
      </c>
    </row>
    <row r="30" spans="1:13" x14ac:dyDescent="0.35">
      <c r="A30">
        <v>5224</v>
      </c>
      <c r="B30" t="s">
        <v>126</v>
      </c>
      <c r="C30" t="s">
        <v>127</v>
      </c>
      <c r="D30" t="s">
        <v>25</v>
      </c>
      <c r="E30" t="s">
        <v>64</v>
      </c>
      <c r="F30" t="s">
        <v>116</v>
      </c>
      <c r="G30">
        <v>1</v>
      </c>
      <c r="H30" t="s">
        <v>128</v>
      </c>
      <c r="I30" t="s">
        <v>18</v>
      </c>
      <c r="J30" t="s">
        <v>110</v>
      </c>
      <c r="K30" t="s">
        <v>21</v>
      </c>
    </row>
    <row r="31" spans="1:13" x14ac:dyDescent="0.35">
      <c r="A31">
        <v>5205</v>
      </c>
      <c r="B31" t="s">
        <v>129</v>
      </c>
      <c r="C31" t="s">
        <v>130</v>
      </c>
      <c r="D31" t="s">
        <v>108</v>
      </c>
      <c r="E31" t="s">
        <v>16</v>
      </c>
      <c r="F31" t="s">
        <v>109</v>
      </c>
      <c r="G31">
        <v>3</v>
      </c>
      <c r="H31" t="s">
        <v>131</v>
      </c>
      <c r="I31" t="s">
        <v>29</v>
      </c>
      <c r="J31" t="s">
        <v>78</v>
      </c>
      <c r="K31" t="s">
        <v>84</v>
      </c>
      <c r="M31" t="s">
        <v>79</v>
      </c>
    </row>
    <row r="32" spans="1:13" x14ac:dyDescent="0.35">
      <c r="A32">
        <v>5305</v>
      </c>
      <c r="B32" t="s">
        <v>49</v>
      </c>
      <c r="C32" t="s">
        <v>132</v>
      </c>
      <c r="D32" t="s">
        <v>25</v>
      </c>
      <c r="E32" t="s">
        <v>64</v>
      </c>
      <c r="F32" t="s">
        <v>133</v>
      </c>
      <c r="G32">
        <v>2</v>
      </c>
      <c r="H32" t="s">
        <v>134</v>
      </c>
      <c r="I32" t="s">
        <v>18</v>
      </c>
      <c r="J32" t="s">
        <v>78</v>
      </c>
      <c r="K32" t="s">
        <v>44</v>
      </c>
      <c r="M32" t="s">
        <v>31</v>
      </c>
    </row>
    <row r="33" spans="1:13" x14ac:dyDescent="0.35">
      <c r="A33">
        <v>5210</v>
      </c>
      <c r="B33" t="s">
        <v>120</v>
      </c>
      <c r="C33" t="s">
        <v>135</v>
      </c>
      <c r="D33" t="s">
        <v>76</v>
      </c>
      <c r="E33" t="s">
        <v>35</v>
      </c>
      <c r="F33" t="s">
        <v>136</v>
      </c>
      <c r="G33">
        <v>3</v>
      </c>
      <c r="H33" t="s">
        <v>137</v>
      </c>
      <c r="I33" t="s">
        <v>18</v>
      </c>
      <c r="J33" t="s">
        <v>60</v>
      </c>
      <c r="K33" t="s">
        <v>48</v>
      </c>
      <c r="M33" t="s">
        <v>22</v>
      </c>
    </row>
    <row r="34" spans="1:13" x14ac:dyDescent="0.35">
      <c r="A34">
        <v>5008</v>
      </c>
      <c r="B34" t="s">
        <v>129</v>
      </c>
      <c r="C34" t="s">
        <v>138</v>
      </c>
      <c r="D34" t="s">
        <v>51</v>
      </c>
      <c r="E34" t="s">
        <v>35</v>
      </c>
      <c r="F34" t="s">
        <v>58</v>
      </c>
      <c r="G34">
        <v>1</v>
      </c>
      <c r="H34" t="s">
        <v>139</v>
      </c>
      <c r="I34" t="s">
        <v>19</v>
      </c>
      <c r="J34" t="s">
        <v>20</v>
      </c>
      <c r="K34" t="s">
        <v>44</v>
      </c>
      <c r="M34" t="s">
        <v>22</v>
      </c>
    </row>
    <row r="35" spans="1:13" x14ac:dyDescent="0.35">
      <c r="A35">
        <v>5355</v>
      </c>
      <c r="B35" t="s">
        <v>74</v>
      </c>
      <c r="C35" t="s">
        <v>140</v>
      </c>
      <c r="D35" t="s">
        <v>57</v>
      </c>
      <c r="E35" t="s">
        <v>64</v>
      </c>
      <c r="F35" t="s">
        <v>141</v>
      </c>
      <c r="G35">
        <v>5</v>
      </c>
      <c r="H35" t="s">
        <v>142</v>
      </c>
      <c r="I35" t="s">
        <v>18</v>
      </c>
      <c r="J35" t="s">
        <v>87</v>
      </c>
      <c r="K35" t="s">
        <v>72</v>
      </c>
      <c r="M35" t="s">
        <v>39</v>
      </c>
    </row>
    <row r="36" spans="1:13" x14ac:dyDescent="0.35">
      <c r="A36">
        <v>5431</v>
      </c>
      <c r="B36" t="s">
        <v>68</v>
      </c>
      <c r="C36" t="s">
        <v>143</v>
      </c>
      <c r="D36" t="s">
        <v>51</v>
      </c>
      <c r="E36" t="s">
        <v>16</v>
      </c>
      <c r="F36" t="s">
        <v>42</v>
      </c>
      <c r="G36">
        <v>2</v>
      </c>
      <c r="H36" t="s">
        <v>144</v>
      </c>
      <c r="I36" t="s">
        <v>29</v>
      </c>
      <c r="J36" t="s">
        <v>47</v>
      </c>
      <c r="K36" t="s">
        <v>84</v>
      </c>
      <c r="M36" t="s">
        <v>39</v>
      </c>
    </row>
    <row r="37" spans="1:13" x14ac:dyDescent="0.35">
      <c r="A37">
        <v>5373</v>
      </c>
      <c r="B37" t="s">
        <v>93</v>
      </c>
      <c r="C37" t="s">
        <v>145</v>
      </c>
      <c r="D37" t="s">
        <v>25</v>
      </c>
      <c r="E37" t="s">
        <v>64</v>
      </c>
      <c r="F37" t="s">
        <v>77</v>
      </c>
      <c r="G37">
        <v>1</v>
      </c>
      <c r="H37" t="s">
        <v>146</v>
      </c>
      <c r="J37" t="s">
        <v>47</v>
      </c>
      <c r="K37" t="s">
        <v>84</v>
      </c>
    </row>
    <row r="38" spans="1:13" x14ac:dyDescent="0.35">
      <c r="A38">
        <v>5402</v>
      </c>
      <c r="B38" t="s">
        <v>93</v>
      </c>
      <c r="C38" t="s">
        <v>147</v>
      </c>
      <c r="D38" t="s">
        <v>15</v>
      </c>
      <c r="E38" t="s">
        <v>35</v>
      </c>
      <c r="F38" t="s">
        <v>58</v>
      </c>
      <c r="G38">
        <v>1</v>
      </c>
      <c r="H38" t="s">
        <v>148</v>
      </c>
      <c r="J38" t="s">
        <v>20</v>
      </c>
      <c r="K38" t="s">
        <v>61</v>
      </c>
      <c r="M38" t="s">
        <v>79</v>
      </c>
    </row>
    <row r="39" spans="1:13" x14ac:dyDescent="0.35">
      <c r="A39">
        <v>5394</v>
      </c>
      <c r="B39" t="s">
        <v>149</v>
      </c>
      <c r="C39" t="s">
        <v>150</v>
      </c>
      <c r="D39" t="s">
        <v>108</v>
      </c>
      <c r="E39" t="s">
        <v>26</v>
      </c>
      <c r="F39" t="s">
        <v>46</v>
      </c>
      <c r="G39">
        <v>5</v>
      </c>
      <c r="H39" t="s">
        <v>18</v>
      </c>
      <c r="I39" t="s">
        <v>29</v>
      </c>
      <c r="J39" t="s">
        <v>114</v>
      </c>
      <c r="K39" t="s">
        <v>84</v>
      </c>
      <c r="M39" t="s">
        <v>31</v>
      </c>
    </row>
    <row r="40" spans="1:13" x14ac:dyDescent="0.35">
      <c r="A40">
        <v>5103</v>
      </c>
      <c r="B40" t="s">
        <v>151</v>
      </c>
      <c r="C40" t="s">
        <v>152</v>
      </c>
      <c r="D40" t="s">
        <v>76</v>
      </c>
      <c r="E40" t="s">
        <v>35</v>
      </c>
      <c r="F40" t="s">
        <v>99</v>
      </c>
      <c r="H40" t="s">
        <v>18</v>
      </c>
      <c r="I40" t="s">
        <v>18</v>
      </c>
      <c r="J40" t="s">
        <v>153</v>
      </c>
      <c r="K40" t="s">
        <v>21</v>
      </c>
      <c r="M40" t="s">
        <v>67</v>
      </c>
    </row>
    <row r="41" spans="1:13" x14ac:dyDescent="0.35">
      <c r="A41">
        <v>5227</v>
      </c>
      <c r="B41" t="s">
        <v>74</v>
      </c>
      <c r="C41" t="s">
        <v>75</v>
      </c>
      <c r="D41" t="s">
        <v>76</v>
      </c>
      <c r="E41" t="s">
        <v>64</v>
      </c>
      <c r="F41" t="s">
        <v>77</v>
      </c>
      <c r="H41" t="s">
        <v>18</v>
      </c>
      <c r="I41" t="s">
        <v>29</v>
      </c>
      <c r="J41" t="s">
        <v>78</v>
      </c>
      <c r="K41" t="s">
        <v>44</v>
      </c>
      <c r="M41" t="s">
        <v>79</v>
      </c>
    </row>
    <row r="42" spans="1:13" x14ac:dyDescent="0.35">
      <c r="A42">
        <v>5164</v>
      </c>
      <c r="B42" t="s">
        <v>102</v>
      </c>
      <c r="C42" t="s">
        <v>154</v>
      </c>
      <c r="D42" t="s">
        <v>34</v>
      </c>
      <c r="E42" t="s">
        <v>35</v>
      </c>
      <c r="F42" t="s">
        <v>155</v>
      </c>
      <c r="G42">
        <v>1</v>
      </c>
      <c r="H42" t="s">
        <v>156</v>
      </c>
      <c r="I42" t="s">
        <v>19</v>
      </c>
      <c r="J42" t="s">
        <v>87</v>
      </c>
      <c r="K42" t="s">
        <v>44</v>
      </c>
      <c r="M42" t="s">
        <v>67</v>
      </c>
    </row>
    <row r="43" spans="1:13" x14ac:dyDescent="0.35">
      <c r="A43">
        <v>5171</v>
      </c>
      <c r="B43" t="s">
        <v>129</v>
      </c>
      <c r="C43" t="s">
        <v>157</v>
      </c>
      <c r="D43" t="s">
        <v>86</v>
      </c>
      <c r="E43" t="s">
        <v>16</v>
      </c>
      <c r="F43" t="s">
        <v>82</v>
      </c>
      <c r="G43">
        <v>5</v>
      </c>
      <c r="H43" t="s">
        <v>158</v>
      </c>
      <c r="J43" t="s">
        <v>78</v>
      </c>
      <c r="K43" t="s">
        <v>44</v>
      </c>
    </row>
    <row r="44" spans="1:13" x14ac:dyDescent="0.35">
      <c r="A44">
        <v>5319</v>
      </c>
      <c r="B44" t="s">
        <v>129</v>
      </c>
      <c r="C44" t="s">
        <v>159</v>
      </c>
      <c r="D44" t="s">
        <v>76</v>
      </c>
      <c r="E44" t="s">
        <v>16</v>
      </c>
      <c r="F44" t="s">
        <v>42</v>
      </c>
      <c r="H44" t="s">
        <v>18</v>
      </c>
      <c r="I44" t="s">
        <v>19</v>
      </c>
      <c r="J44" t="s">
        <v>78</v>
      </c>
      <c r="K44" t="s">
        <v>48</v>
      </c>
      <c r="M44" t="s">
        <v>31</v>
      </c>
    </row>
    <row r="45" spans="1:13" x14ac:dyDescent="0.35">
      <c r="A45">
        <v>5258</v>
      </c>
      <c r="B45" t="s">
        <v>40</v>
      </c>
      <c r="C45" t="s">
        <v>160</v>
      </c>
      <c r="D45" t="s">
        <v>25</v>
      </c>
      <c r="E45" t="s">
        <v>64</v>
      </c>
      <c r="F45" t="s">
        <v>133</v>
      </c>
      <c r="G45">
        <v>2</v>
      </c>
      <c r="H45" t="s">
        <v>161</v>
      </c>
      <c r="I45" t="s">
        <v>71</v>
      </c>
      <c r="J45" t="s">
        <v>87</v>
      </c>
      <c r="K45" t="s">
        <v>61</v>
      </c>
      <c r="M45" t="s">
        <v>79</v>
      </c>
    </row>
    <row r="46" spans="1:13" x14ac:dyDescent="0.35">
      <c r="A46">
        <v>5179</v>
      </c>
      <c r="B46" t="s">
        <v>23</v>
      </c>
      <c r="C46" t="s">
        <v>162</v>
      </c>
      <c r="D46" t="s">
        <v>15</v>
      </c>
      <c r="E46" t="s">
        <v>35</v>
      </c>
      <c r="F46" t="s">
        <v>155</v>
      </c>
      <c r="G46">
        <v>1</v>
      </c>
      <c r="H46" t="s">
        <v>163</v>
      </c>
      <c r="I46" t="s">
        <v>19</v>
      </c>
      <c r="J46" t="s">
        <v>114</v>
      </c>
      <c r="K46" t="s">
        <v>72</v>
      </c>
    </row>
    <row r="47" spans="1:13" x14ac:dyDescent="0.35">
      <c r="A47">
        <v>5068</v>
      </c>
      <c r="B47" t="s">
        <v>74</v>
      </c>
      <c r="C47" t="s">
        <v>164</v>
      </c>
      <c r="D47" t="s">
        <v>108</v>
      </c>
      <c r="E47" t="s">
        <v>64</v>
      </c>
      <c r="F47" t="s">
        <v>65</v>
      </c>
      <c r="H47" t="s">
        <v>18</v>
      </c>
      <c r="I47" t="s">
        <v>19</v>
      </c>
      <c r="J47" t="s">
        <v>114</v>
      </c>
      <c r="K47" t="s">
        <v>44</v>
      </c>
      <c r="M47" t="s">
        <v>79</v>
      </c>
    </row>
    <row r="48" spans="1:13" x14ac:dyDescent="0.35">
      <c r="A48">
        <v>5088</v>
      </c>
      <c r="B48" t="s">
        <v>120</v>
      </c>
      <c r="C48" t="s">
        <v>165</v>
      </c>
      <c r="D48" t="s">
        <v>57</v>
      </c>
      <c r="E48" t="s">
        <v>64</v>
      </c>
      <c r="F48" t="s">
        <v>65</v>
      </c>
      <c r="G48">
        <v>1</v>
      </c>
      <c r="H48" t="s">
        <v>18</v>
      </c>
      <c r="I48" t="s">
        <v>71</v>
      </c>
      <c r="J48" t="s">
        <v>20</v>
      </c>
      <c r="K48" t="s">
        <v>84</v>
      </c>
    </row>
    <row r="49" spans="1:13" x14ac:dyDescent="0.35">
      <c r="A49">
        <v>5173</v>
      </c>
      <c r="B49" t="s">
        <v>40</v>
      </c>
      <c r="C49" t="s">
        <v>166</v>
      </c>
      <c r="D49" t="s">
        <v>51</v>
      </c>
      <c r="E49" t="s">
        <v>26</v>
      </c>
      <c r="F49" t="s">
        <v>167</v>
      </c>
      <c r="G49">
        <v>2</v>
      </c>
      <c r="H49" t="s">
        <v>168</v>
      </c>
      <c r="I49" t="s">
        <v>54</v>
      </c>
      <c r="J49" t="s">
        <v>87</v>
      </c>
      <c r="K49" t="s">
        <v>21</v>
      </c>
    </row>
    <row r="50" spans="1:13" x14ac:dyDescent="0.35">
      <c r="A50">
        <v>5013</v>
      </c>
      <c r="B50" t="s">
        <v>32</v>
      </c>
      <c r="C50" t="s">
        <v>169</v>
      </c>
      <c r="D50" t="s">
        <v>15</v>
      </c>
      <c r="E50" t="s">
        <v>16</v>
      </c>
      <c r="F50" t="s">
        <v>170</v>
      </c>
      <c r="G50">
        <v>4</v>
      </c>
      <c r="H50" t="s">
        <v>171</v>
      </c>
      <c r="I50" t="s">
        <v>43</v>
      </c>
      <c r="J50" t="s">
        <v>87</v>
      </c>
      <c r="K50" t="s">
        <v>61</v>
      </c>
      <c r="M50" t="s">
        <v>39</v>
      </c>
    </row>
    <row r="51" spans="1:13" x14ac:dyDescent="0.35">
      <c r="A51">
        <v>5496</v>
      </c>
      <c r="B51" t="s">
        <v>32</v>
      </c>
      <c r="C51" t="s">
        <v>172</v>
      </c>
      <c r="D51" t="s">
        <v>76</v>
      </c>
      <c r="E51" t="s">
        <v>16</v>
      </c>
      <c r="F51" t="s">
        <v>170</v>
      </c>
      <c r="G51">
        <v>3</v>
      </c>
      <c r="H51" t="s">
        <v>173</v>
      </c>
      <c r="I51" t="s">
        <v>71</v>
      </c>
      <c r="J51" t="s">
        <v>87</v>
      </c>
      <c r="K51" t="s">
        <v>44</v>
      </c>
      <c r="M51" t="s">
        <v>31</v>
      </c>
    </row>
    <row r="52" spans="1:13" x14ac:dyDescent="0.35">
      <c r="A52">
        <v>5473</v>
      </c>
      <c r="B52" t="s">
        <v>32</v>
      </c>
      <c r="C52" t="s">
        <v>174</v>
      </c>
      <c r="D52" t="s">
        <v>15</v>
      </c>
      <c r="E52" t="s">
        <v>26</v>
      </c>
      <c r="F52" t="s">
        <v>167</v>
      </c>
      <c r="H52" t="s">
        <v>18</v>
      </c>
      <c r="I52" t="s">
        <v>54</v>
      </c>
      <c r="J52" t="s">
        <v>114</v>
      </c>
      <c r="K52" t="s">
        <v>48</v>
      </c>
      <c r="M52" t="s">
        <v>39</v>
      </c>
    </row>
    <row r="53" spans="1:13" x14ac:dyDescent="0.35">
      <c r="A53">
        <v>5208</v>
      </c>
      <c r="B53" t="s">
        <v>74</v>
      </c>
      <c r="C53" t="s">
        <v>175</v>
      </c>
      <c r="D53" t="s">
        <v>86</v>
      </c>
      <c r="E53" t="s">
        <v>26</v>
      </c>
      <c r="F53" t="s">
        <v>112</v>
      </c>
      <c r="H53" t="s">
        <v>18</v>
      </c>
      <c r="J53" t="s">
        <v>78</v>
      </c>
      <c r="K53" t="s">
        <v>38</v>
      </c>
      <c r="M53" t="s">
        <v>39</v>
      </c>
    </row>
    <row r="54" spans="1:13" x14ac:dyDescent="0.35">
      <c r="A54">
        <v>5213</v>
      </c>
      <c r="B54" t="s">
        <v>93</v>
      </c>
      <c r="C54" t="s">
        <v>176</v>
      </c>
      <c r="D54" t="s">
        <v>108</v>
      </c>
      <c r="E54" t="s">
        <v>35</v>
      </c>
      <c r="F54" t="s">
        <v>58</v>
      </c>
      <c r="G54">
        <v>4</v>
      </c>
      <c r="H54" t="s">
        <v>177</v>
      </c>
      <c r="J54" t="s">
        <v>30</v>
      </c>
      <c r="K54" t="s">
        <v>72</v>
      </c>
      <c r="M54" t="s">
        <v>31</v>
      </c>
    </row>
    <row r="55" spans="1:13" x14ac:dyDescent="0.35">
      <c r="A55">
        <v>5109</v>
      </c>
      <c r="B55" t="s">
        <v>80</v>
      </c>
      <c r="C55" t="s">
        <v>178</v>
      </c>
      <c r="D55" t="s">
        <v>108</v>
      </c>
      <c r="E55" t="s">
        <v>26</v>
      </c>
      <c r="F55" t="s">
        <v>52</v>
      </c>
      <c r="G55">
        <v>1</v>
      </c>
      <c r="H55" t="s">
        <v>18</v>
      </c>
      <c r="I55" t="s">
        <v>43</v>
      </c>
      <c r="J55" t="s">
        <v>60</v>
      </c>
      <c r="K55" t="s">
        <v>72</v>
      </c>
    </row>
    <row r="56" spans="1:13" x14ac:dyDescent="0.35">
      <c r="A56">
        <v>5178</v>
      </c>
      <c r="B56" t="s">
        <v>102</v>
      </c>
      <c r="C56" t="s">
        <v>179</v>
      </c>
      <c r="D56" t="s">
        <v>108</v>
      </c>
      <c r="E56" t="s">
        <v>64</v>
      </c>
      <c r="F56" t="s">
        <v>65</v>
      </c>
      <c r="H56" t="s">
        <v>180</v>
      </c>
      <c r="I56" t="s">
        <v>29</v>
      </c>
      <c r="J56" t="s">
        <v>153</v>
      </c>
      <c r="K56" t="s">
        <v>21</v>
      </c>
      <c r="M56" t="s">
        <v>67</v>
      </c>
    </row>
    <row r="57" spans="1:13" x14ac:dyDescent="0.35">
      <c r="A57">
        <v>5456</v>
      </c>
      <c r="B57" t="s">
        <v>23</v>
      </c>
      <c r="C57" t="s">
        <v>181</v>
      </c>
      <c r="D57" t="s">
        <v>57</v>
      </c>
      <c r="E57" t="s">
        <v>64</v>
      </c>
      <c r="F57" t="s">
        <v>116</v>
      </c>
      <c r="H57" t="s">
        <v>182</v>
      </c>
      <c r="I57" t="s">
        <v>43</v>
      </c>
      <c r="J57" t="s">
        <v>20</v>
      </c>
      <c r="K57" t="s">
        <v>38</v>
      </c>
      <c r="M57" t="s">
        <v>22</v>
      </c>
    </row>
    <row r="58" spans="1:13" x14ac:dyDescent="0.35">
      <c r="A58">
        <v>5065</v>
      </c>
      <c r="B58" t="s">
        <v>32</v>
      </c>
      <c r="C58" t="s">
        <v>183</v>
      </c>
      <c r="D58" t="s">
        <v>76</v>
      </c>
      <c r="E58" t="s">
        <v>64</v>
      </c>
      <c r="F58" t="s">
        <v>133</v>
      </c>
      <c r="G58">
        <v>4</v>
      </c>
      <c r="H58" t="s">
        <v>184</v>
      </c>
      <c r="I58" t="s">
        <v>29</v>
      </c>
      <c r="J58" t="s">
        <v>60</v>
      </c>
      <c r="K58" t="s">
        <v>61</v>
      </c>
      <c r="M58" t="s">
        <v>31</v>
      </c>
    </row>
    <row r="59" spans="1:13" x14ac:dyDescent="0.35">
      <c r="A59">
        <v>5097</v>
      </c>
      <c r="B59" t="s">
        <v>32</v>
      </c>
      <c r="C59" t="s">
        <v>185</v>
      </c>
      <c r="D59" t="s">
        <v>15</v>
      </c>
      <c r="E59" t="s">
        <v>35</v>
      </c>
      <c r="F59" t="s">
        <v>58</v>
      </c>
      <c r="G59">
        <v>5</v>
      </c>
      <c r="H59" t="s">
        <v>186</v>
      </c>
      <c r="I59" t="s">
        <v>29</v>
      </c>
      <c r="J59" t="s">
        <v>110</v>
      </c>
      <c r="K59" t="s">
        <v>72</v>
      </c>
      <c r="M59" t="s">
        <v>67</v>
      </c>
    </row>
    <row r="60" spans="1:13" x14ac:dyDescent="0.35">
      <c r="A60">
        <v>5375</v>
      </c>
      <c r="B60" t="s">
        <v>80</v>
      </c>
      <c r="C60" t="s">
        <v>187</v>
      </c>
      <c r="D60" t="s">
        <v>51</v>
      </c>
      <c r="E60" t="s">
        <v>16</v>
      </c>
      <c r="F60" t="s">
        <v>170</v>
      </c>
      <c r="G60">
        <v>1</v>
      </c>
      <c r="H60" t="s">
        <v>188</v>
      </c>
      <c r="I60" t="s">
        <v>29</v>
      </c>
      <c r="J60" t="s">
        <v>153</v>
      </c>
      <c r="K60" t="s">
        <v>48</v>
      </c>
      <c r="M60" t="s">
        <v>22</v>
      </c>
    </row>
    <row r="61" spans="1:13" x14ac:dyDescent="0.35">
      <c r="A61">
        <v>5005</v>
      </c>
      <c r="B61" t="s">
        <v>40</v>
      </c>
      <c r="C61" t="s">
        <v>189</v>
      </c>
      <c r="D61" t="s">
        <v>25</v>
      </c>
      <c r="E61" t="s">
        <v>64</v>
      </c>
      <c r="F61" t="s">
        <v>141</v>
      </c>
      <c r="G61">
        <v>5</v>
      </c>
      <c r="H61" t="s">
        <v>190</v>
      </c>
      <c r="J61" t="s">
        <v>30</v>
      </c>
      <c r="K61" t="s">
        <v>61</v>
      </c>
      <c r="M61" t="s">
        <v>22</v>
      </c>
    </row>
    <row r="62" spans="1:13" x14ac:dyDescent="0.35">
      <c r="A62">
        <v>5282</v>
      </c>
      <c r="B62" t="s">
        <v>13</v>
      </c>
      <c r="C62" t="s">
        <v>191</v>
      </c>
      <c r="D62" t="s">
        <v>51</v>
      </c>
      <c r="E62" t="s">
        <v>35</v>
      </c>
      <c r="F62" t="s">
        <v>36</v>
      </c>
      <c r="G62">
        <v>3</v>
      </c>
      <c r="H62" t="s">
        <v>192</v>
      </c>
      <c r="I62" t="s">
        <v>54</v>
      </c>
      <c r="J62" t="s">
        <v>47</v>
      </c>
      <c r="K62" t="s">
        <v>21</v>
      </c>
      <c r="M62" t="s">
        <v>73</v>
      </c>
    </row>
    <row r="63" spans="1:13" x14ac:dyDescent="0.35">
      <c r="A63">
        <v>5056</v>
      </c>
      <c r="B63" t="s">
        <v>126</v>
      </c>
      <c r="C63" t="s">
        <v>193</v>
      </c>
      <c r="D63" t="s">
        <v>108</v>
      </c>
      <c r="E63" t="s">
        <v>35</v>
      </c>
      <c r="F63" t="s">
        <v>58</v>
      </c>
      <c r="G63">
        <v>4</v>
      </c>
      <c r="H63" t="s">
        <v>194</v>
      </c>
      <c r="J63" t="s">
        <v>114</v>
      </c>
      <c r="K63" t="s">
        <v>61</v>
      </c>
      <c r="M63" t="s">
        <v>79</v>
      </c>
    </row>
    <row r="64" spans="1:13" x14ac:dyDescent="0.35">
      <c r="A64">
        <v>5189</v>
      </c>
      <c r="B64" t="s">
        <v>102</v>
      </c>
      <c r="C64" t="s">
        <v>195</v>
      </c>
      <c r="D64" t="s">
        <v>51</v>
      </c>
      <c r="E64" t="s">
        <v>16</v>
      </c>
      <c r="F64" t="s">
        <v>42</v>
      </c>
      <c r="G64">
        <v>2</v>
      </c>
      <c r="H64" t="s">
        <v>196</v>
      </c>
      <c r="I64" t="s">
        <v>29</v>
      </c>
      <c r="J64" t="s">
        <v>87</v>
      </c>
      <c r="K64" t="s">
        <v>72</v>
      </c>
      <c r="M64" t="s">
        <v>22</v>
      </c>
    </row>
    <row r="65" spans="1:13" x14ac:dyDescent="0.35">
      <c r="A65">
        <v>5464</v>
      </c>
      <c r="B65" t="s">
        <v>126</v>
      </c>
      <c r="C65" t="s">
        <v>197</v>
      </c>
      <c r="D65" t="s">
        <v>25</v>
      </c>
      <c r="E65" t="s">
        <v>64</v>
      </c>
      <c r="F65" t="s">
        <v>77</v>
      </c>
      <c r="G65">
        <v>4</v>
      </c>
      <c r="H65" t="s">
        <v>18</v>
      </c>
      <c r="I65" t="s">
        <v>29</v>
      </c>
      <c r="J65" t="s">
        <v>153</v>
      </c>
      <c r="K65" t="s">
        <v>61</v>
      </c>
      <c r="M65" t="s">
        <v>22</v>
      </c>
    </row>
    <row r="66" spans="1:13" x14ac:dyDescent="0.35">
      <c r="A66">
        <v>5121</v>
      </c>
      <c r="B66" t="s">
        <v>120</v>
      </c>
      <c r="C66" t="s">
        <v>198</v>
      </c>
      <c r="D66" t="s">
        <v>76</v>
      </c>
      <c r="E66" t="s">
        <v>35</v>
      </c>
      <c r="F66" t="s">
        <v>99</v>
      </c>
      <c r="G66">
        <v>2</v>
      </c>
      <c r="H66" t="s">
        <v>18</v>
      </c>
      <c r="I66" t="s">
        <v>43</v>
      </c>
      <c r="J66" t="s">
        <v>47</v>
      </c>
      <c r="K66" t="s">
        <v>44</v>
      </c>
      <c r="M66" t="s">
        <v>39</v>
      </c>
    </row>
    <row r="67" spans="1:13" x14ac:dyDescent="0.35">
      <c r="A67">
        <v>5325</v>
      </c>
      <c r="B67" t="s">
        <v>117</v>
      </c>
      <c r="C67" t="s">
        <v>127</v>
      </c>
      <c r="D67" t="s">
        <v>51</v>
      </c>
      <c r="E67" t="s">
        <v>16</v>
      </c>
      <c r="F67" t="s">
        <v>109</v>
      </c>
      <c r="G67">
        <v>3</v>
      </c>
      <c r="H67" t="s">
        <v>199</v>
      </c>
      <c r="I67" t="s">
        <v>43</v>
      </c>
      <c r="J67" t="s">
        <v>47</v>
      </c>
      <c r="K67" t="s">
        <v>61</v>
      </c>
      <c r="M67" t="s">
        <v>79</v>
      </c>
    </row>
    <row r="68" spans="1:13" x14ac:dyDescent="0.35">
      <c r="A68">
        <v>5487</v>
      </c>
      <c r="B68" t="s">
        <v>93</v>
      </c>
      <c r="C68" t="s">
        <v>200</v>
      </c>
      <c r="D68" t="s">
        <v>86</v>
      </c>
      <c r="E68" t="s">
        <v>64</v>
      </c>
      <c r="F68" t="s">
        <v>133</v>
      </c>
      <c r="G68">
        <v>2</v>
      </c>
      <c r="H68" t="s">
        <v>201</v>
      </c>
      <c r="I68" t="s">
        <v>29</v>
      </c>
      <c r="J68" t="s">
        <v>114</v>
      </c>
      <c r="K68" t="s">
        <v>61</v>
      </c>
      <c r="M68" t="s">
        <v>22</v>
      </c>
    </row>
    <row r="69" spans="1:13" x14ac:dyDescent="0.35">
      <c r="A69">
        <v>5297</v>
      </c>
      <c r="B69" t="s">
        <v>88</v>
      </c>
      <c r="C69" t="s">
        <v>202</v>
      </c>
      <c r="D69" t="s">
        <v>15</v>
      </c>
      <c r="E69" t="s">
        <v>16</v>
      </c>
      <c r="F69" t="s">
        <v>42</v>
      </c>
      <c r="G69">
        <v>1</v>
      </c>
      <c r="H69" t="s">
        <v>203</v>
      </c>
      <c r="J69" t="s">
        <v>114</v>
      </c>
      <c r="K69" t="s">
        <v>61</v>
      </c>
      <c r="M69" t="s">
        <v>79</v>
      </c>
    </row>
    <row r="70" spans="1:13" x14ac:dyDescent="0.35">
      <c r="A70">
        <v>5199</v>
      </c>
      <c r="B70" t="s">
        <v>88</v>
      </c>
      <c r="C70" t="s">
        <v>204</v>
      </c>
      <c r="D70" t="s">
        <v>76</v>
      </c>
      <c r="E70" t="s">
        <v>16</v>
      </c>
      <c r="F70" t="s">
        <v>17</v>
      </c>
      <c r="G70">
        <v>3</v>
      </c>
      <c r="H70" t="s">
        <v>205</v>
      </c>
      <c r="I70" t="s">
        <v>43</v>
      </c>
      <c r="J70" t="s">
        <v>20</v>
      </c>
      <c r="K70" t="s">
        <v>84</v>
      </c>
      <c r="M70" t="s">
        <v>67</v>
      </c>
    </row>
    <row r="71" spans="1:13" x14ac:dyDescent="0.35">
      <c r="A71">
        <v>5009</v>
      </c>
      <c r="B71" t="s">
        <v>13</v>
      </c>
      <c r="C71" t="s">
        <v>206</v>
      </c>
      <c r="D71" t="s">
        <v>76</v>
      </c>
      <c r="E71" t="s">
        <v>26</v>
      </c>
      <c r="F71" t="s">
        <v>112</v>
      </c>
      <c r="G71">
        <v>4</v>
      </c>
      <c r="H71" t="s">
        <v>18</v>
      </c>
      <c r="I71" t="s">
        <v>71</v>
      </c>
      <c r="J71" t="s">
        <v>47</v>
      </c>
      <c r="K71" t="s">
        <v>38</v>
      </c>
      <c r="M71" t="s">
        <v>73</v>
      </c>
    </row>
    <row r="72" spans="1:13" x14ac:dyDescent="0.35">
      <c r="A72">
        <v>5389</v>
      </c>
      <c r="B72" t="s">
        <v>100</v>
      </c>
      <c r="C72" t="s">
        <v>207</v>
      </c>
      <c r="D72" t="s">
        <v>57</v>
      </c>
      <c r="E72" t="s">
        <v>35</v>
      </c>
      <c r="F72" t="s">
        <v>136</v>
      </c>
      <c r="G72">
        <v>3</v>
      </c>
      <c r="H72" t="s">
        <v>208</v>
      </c>
      <c r="I72" t="s">
        <v>18</v>
      </c>
      <c r="J72" t="s">
        <v>60</v>
      </c>
      <c r="K72" t="s">
        <v>44</v>
      </c>
    </row>
    <row r="73" spans="1:13" x14ac:dyDescent="0.35">
      <c r="A73">
        <v>5430</v>
      </c>
      <c r="B73" t="s">
        <v>88</v>
      </c>
      <c r="C73" t="s">
        <v>209</v>
      </c>
      <c r="D73" t="s">
        <v>15</v>
      </c>
      <c r="E73" t="s">
        <v>35</v>
      </c>
      <c r="F73" t="s">
        <v>155</v>
      </c>
      <c r="G73">
        <v>2</v>
      </c>
      <c r="H73" t="s">
        <v>18</v>
      </c>
      <c r="J73" t="s">
        <v>47</v>
      </c>
      <c r="K73" t="s">
        <v>72</v>
      </c>
      <c r="M73" t="s">
        <v>22</v>
      </c>
    </row>
    <row r="74" spans="1:13" x14ac:dyDescent="0.35">
      <c r="A74">
        <v>5339</v>
      </c>
      <c r="B74" t="s">
        <v>210</v>
      </c>
      <c r="C74" t="s">
        <v>211</v>
      </c>
      <c r="D74" t="s">
        <v>15</v>
      </c>
      <c r="E74" t="s">
        <v>35</v>
      </c>
      <c r="F74" t="s">
        <v>36</v>
      </c>
      <c r="G74">
        <v>3</v>
      </c>
      <c r="H74" t="s">
        <v>18</v>
      </c>
      <c r="I74" t="s">
        <v>71</v>
      </c>
      <c r="J74" t="s">
        <v>153</v>
      </c>
      <c r="K74" t="s">
        <v>38</v>
      </c>
      <c r="M74" t="s">
        <v>39</v>
      </c>
    </row>
    <row r="75" spans="1:13" x14ac:dyDescent="0.35">
      <c r="A75">
        <v>5470</v>
      </c>
      <c r="B75" t="s">
        <v>23</v>
      </c>
      <c r="C75" t="s">
        <v>212</v>
      </c>
      <c r="D75" t="s">
        <v>51</v>
      </c>
      <c r="E75" t="s">
        <v>16</v>
      </c>
      <c r="F75" t="s">
        <v>109</v>
      </c>
      <c r="H75" t="s">
        <v>213</v>
      </c>
      <c r="J75" t="s">
        <v>110</v>
      </c>
      <c r="K75" t="s">
        <v>84</v>
      </c>
      <c r="M75" t="s">
        <v>39</v>
      </c>
    </row>
    <row r="76" spans="1:13" x14ac:dyDescent="0.35">
      <c r="A76">
        <v>5048</v>
      </c>
      <c r="B76" t="s">
        <v>117</v>
      </c>
      <c r="C76" t="s">
        <v>214</v>
      </c>
      <c r="D76" t="s">
        <v>108</v>
      </c>
      <c r="E76" t="s">
        <v>35</v>
      </c>
      <c r="F76" t="s">
        <v>36</v>
      </c>
      <c r="G76">
        <v>2</v>
      </c>
      <c r="H76" t="s">
        <v>215</v>
      </c>
      <c r="I76" t="s">
        <v>71</v>
      </c>
      <c r="J76" t="s">
        <v>78</v>
      </c>
      <c r="K76" t="s">
        <v>48</v>
      </c>
      <c r="M76" t="s">
        <v>73</v>
      </c>
    </row>
    <row r="77" spans="1:13" x14ac:dyDescent="0.35">
      <c r="A77">
        <v>5443</v>
      </c>
      <c r="B77" t="s">
        <v>80</v>
      </c>
      <c r="C77" t="s">
        <v>216</v>
      </c>
      <c r="D77" t="s">
        <v>25</v>
      </c>
      <c r="E77" t="s">
        <v>26</v>
      </c>
      <c r="F77" t="s">
        <v>46</v>
      </c>
      <c r="G77">
        <v>5</v>
      </c>
      <c r="H77" t="s">
        <v>217</v>
      </c>
      <c r="J77" t="s">
        <v>87</v>
      </c>
      <c r="K77" t="s">
        <v>61</v>
      </c>
      <c r="M77" t="s">
        <v>79</v>
      </c>
    </row>
    <row r="78" spans="1:13" x14ac:dyDescent="0.35">
      <c r="A78">
        <v>5303</v>
      </c>
      <c r="B78" t="s">
        <v>129</v>
      </c>
      <c r="C78" t="s">
        <v>218</v>
      </c>
      <c r="D78" t="s">
        <v>57</v>
      </c>
      <c r="E78" t="s">
        <v>16</v>
      </c>
      <c r="F78" t="s">
        <v>109</v>
      </c>
      <c r="G78">
        <v>5</v>
      </c>
      <c r="H78" t="s">
        <v>219</v>
      </c>
      <c r="J78" t="s">
        <v>20</v>
      </c>
      <c r="K78" t="s">
        <v>44</v>
      </c>
      <c r="M78" t="s">
        <v>79</v>
      </c>
    </row>
    <row r="79" spans="1:13" x14ac:dyDescent="0.35">
      <c r="A79">
        <v>5494</v>
      </c>
      <c r="B79" t="s">
        <v>126</v>
      </c>
      <c r="C79" t="s">
        <v>220</v>
      </c>
      <c r="D79" t="s">
        <v>15</v>
      </c>
      <c r="E79" t="s">
        <v>16</v>
      </c>
      <c r="F79" t="s">
        <v>170</v>
      </c>
      <c r="G79">
        <v>2</v>
      </c>
      <c r="H79" t="s">
        <v>18</v>
      </c>
      <c r="I79" t="s">
        <v>18</v>
      </c>
      <c r="J79" t="s">
        <v>78</v>
      </c>
      <c r="K79" t="s">
        <v>72</v>
      </c>
      <c r="M79" t="s">
        <v>79</v>
      </c>
    </row>
    <row r="80" spans="1:13" x14ac:dyDescent="0.35">
      <c r="A80">
        <v>5057</v>
      </c>
      <c r="B80" t="s">
        <v>102</v>
      </c>
      <c r="C80" t="s">
        <v>221</v>
      </c>
      <c r="D80" t="s">
        <v>51</v>
      </c>
      <c r="E80" t="s">
        <v>35</v>
      </c>
      <c r="F80" t="s">
        <v>58</v>
      </c>
      <c r="G80">
        <v>5</v>
      </c>
      <c r="H80" t="s">
        <v>18</v>
      </c>
      <c r="I80" t="s">
        <v>19</v>
      </c>
      <c r="J80" t="s">
        <v>47</v>
      </c>
      <c r="K80" t="s">
        <v>48</v>
      </c>
      <c r="M80" t="s">
        <v>31</v>
      </c>
    </row>
    <row r="81" spans="1:13" x14ac:dyDescent="0.35">
      <c r="A81">
        <v>5070</v>
      </c>
      <c r="B81" t="s">
        <v>62</v>
      </c>
      <c r="C81" t="s">
        <v>222</v>
      </c>
      <c r="D81" t="s">
        <v>108</v>
      </c>
      <c r="E81" t="s">
        <v>16</v>
      </c>
      <c r="F81" t="s">
        <v>42</v>
      </c>
      <c r="H81" t="s">
        <v>223</v>
      </c>
      <c r="I81" t="s">
        <v>19</v>
      </c>
      <c r="J81" t="s">
        <v>60</v>
      </c>
      <c r="K81" t="s">
        <v>61</v>
      </c>
      <c r="M81" t="s">
        <v>31</v>
      </c>
    </row>
    <row r="82" spans="1:13" x14ac:dyDescent="0.35">
      <c r="A82">
        <v>5078</v>
      </c>
      <c r="B82" t="s">
        <v>32</v>
      </c>
      <c r="C82" t="s">
        <v>224</v>
      </c>
      <c r="D82" t="s">
        <v>15</v>
      </c>
      <c r="E82" t="s">
        <v>35</v>
      </c>
      <c r="F82" t="s">
        <v>99</v>
      </c>
      <c r="G82">
        <v>2</v>
      </c>
      <c r="H82" t="s">
        <v>18</v>
      </c>
      <c r="I82" t="s">
        <v>43</v>
      </c>
      <c r="J82" t="s">
        <v>110</v>
      </c>
      <c r="K82" t="s">
        <v>21</v>
      </c>
      <c r="M82" t="s">
        <v>39</v>
      </c>
    </row>
    <row r="83" spans="1:13" x14ac:dyDescent="0.35">
      <c r="A83">
        <v>5106</v>
      </c>
      <c r="B83" t="s">
        <v>40</v>
      </c>
      <c r="C83" t="s">
        <v>225</v>
      </c>
      <c r="D83" t="s">
        <v>25</v>
      </c>
      <c r="E83" t="s">
        <v>16</v>
      </c>
      <c r="F83" t="s">
        <v>17</v>
      </c>
      <c r="G83">
        <v>2</v>
      </c>
      <c r="H83" t="s">
        <v>226</v>
      </c>
      <c r="I83" t="s">
        <v>29</v>
      </c>
      <c r="J83" t="s">
        <v>30</v>
      </c>
      <c r="K83" t="s">
        <v>72</v>
      </c>
      <c r="M83" t="s">
        <v>39</v>
      </c>
    </row>
    <row r="84" spans="1:13" x14ac:dyDescent="0.35">
      <c r="A84">
        <v>5437</v>
      </c>
      <c r="B84" t="s">
        <v>126</v>
      </c>
      <c r="C84" t="s">
        <v>24</v>
      </c>
      <c r="D84" t="s">
        <v>51</v>
      </c>
      <c r="E84" t="s">
        <v>64</v>
      </c>
      <c r="F84" t="s">
        <v>133</v>
      </c>
      <c r="G84">
        <v>5</v>
      </c>
      <c r="H84" t="s">
        <v>227</v>
      </c>
      <c r="I84" t="s">
        <v>29</v>
      </c>
      <c r="J84" t="s">
        <v>110</v>
      </c>
      <c r="K84" t="s">
        <v>61</v>
      </c>
    </row>
    <row r="85" spans="1:13" x14ac:dyDescent="0.35">
      <c r="A85">
        <v>5442</v>
      </c>
      <c r="B85" t="s">
        <v>23</v>
      </c>
      <c r="C85" t="s">
        <v>228</v>
      </c>
      <c r="D85" t="s">
        <v>51</v>
      </c>
      <c r="E85" t="s">
        <v>64</v>
      </c>
      <c r="F85" t="s">
        <v>116</v>
      </c>
      <c r="H85" t="s">
        <v>229</v>
      </c>
      <c r="I85" t="s">
        <v>43</v>
      </c>
      <c r="J85" t="s">
        <v>110</v>
      </c>
      <c r="K85" t="s">
        <v>72</v>
      </c>
    </row>
    <row r="86" spans="1:13" x14ac:dyDescent="0.35">
      <c r="A86">
        <v>5341</v>
      </c>
      <c r="B86" t="s">
        <v>88</v>
      </c>
      <c r="C86" t="s">
        <v>230</v>
      </c>
      <c r="D86" t="s">
        <v>76</v>
      </c>
      <c r="E86" t="s">
        <v>16</v>
      </c>
      <c r="F86" t="s">
        <v>170</v>
      </c>
      <c r="G86">
        <v>2</v>
      </c>
      <c r="H86" t="s">
        <v>231</v>
      </c>
      <c r="I86" t="s">
        <v>19</v>
      </c>
      <c r="J86" t="s">
        <v>153</v>
      </c>
      <c r="K86" t="s">
        <v>21</v>
      </c>
    </row>
    <row r="87" spans="1:13" x14ac:dyDescent="0.35">
      <c r="A87">
        <v>5413</v>
      </c>
      <c r="B87" t="s">
        <v>126</v>
      </c>
      <c r="C87" t="s">
        <v>232</v>
      </c>
      <c r="D87" t="s">
        <v>34</v>
      </c>
      <c r="E87" t="s">
        <v>64</v>
      </c>
      <c r="F87" t="s">
        <v>77</v>
      </c>
      <c r="G87">
        <v>3</v>
      </c>
      <c r="H87" t="s">
        <v>18</v>
      </c>
      <c r="I87" t="s">
        <v>29</v>
      </c>
      <c r="J87" t="s">
        <v>87</v>
      </c>
      <c r="K87" t="s">
        <v>72</v>
      </c>
    </row>
    <row r="88" spans="1:13" x14ac:dyDescent="0.35">
      <c r="A88">
        <v>5147</v>
      </c>
      <c r="B88" t="s">
        <v>80</v>
      </c>
      <c r="C88" t="s">
        <v>233</v>
      </c>
      <c r="D88" t="s">
        <v>34</v>
      </c>
      <c r="E88" t="s">
        <v>16</v>
      </c>
      <c r="F88" t="s">
        <v>82</v>
      </c>
      <c r="G88">
        <v>2</v>
      </c>
      <c r="H88" t="s">
        <v>234</v>
      </c>
      <c r="I88" t="s">
        <v>54</v>
      </c>
      <c r="J88" t="s">
        <v>60</v>
      </c>
      <c r="K88" t="s">
        <v>48</v>
      </c>
    </row>
    <row r="89" spans="1:13" x14ac:dyDescent="0.35">
      <c r="A89">
        <v>5480</v>
      </c>
      <c r="B89" t="s">
        <v>102</v>
      </c>
      <c r="C89" t="s">
        <v>235</v>
      </c>
      <c r="D89" t="s">
        <v>25</v>
      </c>
      <c r="E89" t="s">
        <v>35</v>
      </c>
      <c r="F89" t="s">
        <v>99</v>
      </c>
      <c r="G89">
        <v>2</v>
      </c>
      <c r="H89" t="s">
        <v>18</v>
      </c>
      <c r="I89" t="s">
        <v>19</v>
      </c>
      <c r="J89" t="s">
        <v>47</v>
      </c>
      <c r="K89" t="s">
        <v>61</v>
      </c>
      <c r="M89" t="s">
        <v>22</v>
      </c>
    </row>
    <row r="90" spans="1:13" x14ac:dyDescent="0.35">
      <c r="A90">
        <v>5500</v>
      </c>
      <c r="B90" t="s">
        <v>55</v>
      </c>
      <c r="C90" t="s">
        <v>236</v>
      </c>
      <c r="D90" t="s">
        <v>15</v>
      </c>
      <c r="E90" t="s">
        <v>64</v>
      </c>
      <c r="F90" t="s">
        <v>65</v>
      </c>
      <c r="H90" t="s">
        <v>237</v>
      </c>
      <c r="I90" t="s">
        <v>18</v>
      </c>
      <c r="J90" t="s">
        <v>20</v>
      </c>
      <c r="K90" t="s">
        <v>38</v>
      </c>
    </row>
    <row r="91" spans="1:13" x14ac:dyDescent="0.35">
      <c r="A91">
        <v>5096</v>
      </c>
      <c r="B91" t="s">
        <v>96</v>
      </c>
      <c r="C91" t="s">
        <v>238</v>
      </c>
      <c r="D91" t="s">
        <v>15</v>
      </c>
      <c r="E91" t="s">
        <v>35</v>
      </c>
      <c r="F91" t="s">
        <v>136</v>
      </c>
      <c r="H91" t="s">
        <v>239</v>
      </c>
      <c r="I91" t="s">
        <v>71</v>
      </c>
      <c r="J91" t="s">
        <v>114</v>
      </c>
      <c r="K91" t="s">
        <v>61</v>
      </c>
      <c r="M91" t="s">
        <v>31</v>
      </c>
    </row>
    <row r="92" spans="1:13" x14ac:dyDescent="0.35">
      <c r="A92">
        <v>5279</v>
      </c>
      <c r="B92" t="s">
        <v>88</v>
      </c>
      <c r="C92" t="s">
        <v>240</v>
      </c>
      <c r="D92" t="s">
        <v>25</v>
      </c>
      <c r="E92" t="s">
        <v>64</v>
      </c>
      <c r="F92" t="s">
        <v>65</v>
      </c>
      <c r="G92">
        <v>4</v>
      </c>
      <c r="H92" t="s">
        <v>241</v>
      </c>
      <c r="J92" t="s">
        <v>110</v>
      </c>
      <c r="K92" t="s">
        <v>48</v>
      </c>
      <c r="M92" t="s">
        <v>39</v>
      </c>
    </row>
    <row r="93" spans="1:13" x14ac:dyDescent="0.35">
      <c r="A93">
        <v>5093</v>
      </c>
      <c r="B93" t="s">
        <v>55</v>
      </c>
      <c r="C93" t="s">
        <v>242</v>
      </c>
      <c r="D93" t="s">
        <v>25</v>
      </c>
      <c r="E93" t="s">
        <v>26</v>
      </c>
      <c r="F93" t="s">
        <v>27</v>
      </c>
      <c r="H93" t="s">
        <v>243</v>
      </c>
      <c r="I93" t="s">
        <v>19</v>
      </c>
      <c r="J93" t="s">
        <v>60</v>
      </c>
      <c r="K93" t="s">
        <v>48</v>
      </c>
      <c r="M93" t="s">
        <v>73</v>
      </c>
    </row>
    <row r="94" spans="1:13" x14ac:dyDescent="0.35">
      <c r="A94">
        <v>5030</v>
      </c>
      <c r="B94" t="s">
        <v>32</v>
      </c>
      <c r="C94" t="s">
        <v>244</v>
      </c>
      <c r="D94" t="s">
        <v>76</v>
      </c>
      <c r="E94" t="s">
        <v>16</v>
      </c>
      <c r="F94" t="s">
        <v>42</v>
      </c>
      <c r="G94">
        <v>2</v>
      </c>
      <c r="H94" t="s">
        <v>18</v>
      </c>
      <c r="I94" t="s">
        <v>71</v>
      </c>
      <c r="J94" t="s">
        <v>114</v>
      </c>
      <c r="K94" t="s">
        <v>61</v>
      </c>
      <c r="M94" t="s">
        <v>67</v>
      </c>
    </row>
    <row r="95" spans="1:13" x14ac:dyDescent="0.35">
      <c r="A95">
        <v>5436</v>
      </c>
      <c r="B95" t="s">
        <v>100</v>
      </c>
      <c r="C95" t="s">
        <v>245</v>
      </c>
      <c r="D95" t="s">
        <v>51</v>
      </c>
      <c r="E95" t="s">
        <v>16</v>
      </c>
      <c r="F95" t="s">
        <v>82</v>
      </c>
      <c r="H95" t="s">
        <v>246</v>
      </c>
      <c r="I95" t="s">
        <v>18</v>
      </c>
      <c r="J95" t="s">
        <v>47</v>
      </c>
      <c r="K95" t="s">
        <v>84</v>
      </c>
      <c r="M95" t="s">
        <v>79</v>
      </c>
    </row>
    <row r="96" spans="1:13" x14ac:dyDescent="0.35">
      <c r="A96">
        <v>5432</v>
      </c>
      <c r="B96" t="s">
        <v>93</v>
      </c>
      <c r="C96" t="s">
        <v>247</v>
      </c>
      <c r="D96" t="s">
        <v>76</v>
      </c>
      <c r="E96" t="s">
        <v>64</v>
      </c>
      <c r="F96" t="s">
        <v>116</v>
      </c>
      <c r="H96" t="s">
        <v>248</v>
      </c>
      <c r="I96" t="s">
        <v>54</v>
      </c>
      <c r="J96" t="s">
        <v>87</v>
      </c>
      <c r="K96" t="s">
        <v>84</v>
      </c>
      <c r="M96" t="s">
        <v>67</v>
      </c>
    </row>
    <row r="97" spans="1:13" x14ac:dyDescent="0.35">
      <c r="A97">
        <v>5098</v>
      </c>
      <c r="B97" t="s">
        <v>13</v>
      </c>
      <c r="C97" t="s">
        <v>249</v>
      </c>
      <c r="D97" t="s">
        <v>108</v>
      </c>
      <c r="E97" t="s">
        <v>16</v>
      </c>
      <c r="F97" t="s">
        <v>82</v>
      </c>
      <c r="G97">
        <v>4</v>
      </c>
      <c r="H97" t="s">
        <v>18</v>
      </c>
      <c r="I97" t="s">
        <v>18</v>
      </c>
      <c r="J97" t="s">
        <v>20</v>
      </c>
      <c r="K97" t="s">
        <v>84</v>
      </c>
      <c r="M97" t="s">
        <v>22</v>
      </c>
    </row>
    <row r="98" spans="1:13" x14ac:dyDescent="0.35">
      <c r="A98">
        <v>5146</v>
      </c>
      <c r="B98" t="s">
        <v>32</v>
      </c>
      <c r="C98" t="s">
        <v>181</v>
      </c>
      <c r="D98" t="s">
        <v>25</v>
      </c>
      <c r="E98" t="s">
        <v>16</v>
      </c>
      <c r="F98" t="s">
        <v>170</v>
      </c>
      <c r="G98">
        <v>5</v>
      </c>
      <c r="H98" t="s">
        <v>18</v>
      </c>
      <c r="J98" t="s">
        <v>20</v>
      </c>
      <c r="K98" t="s">
        <v>21</v>
      </c>
      <c r="M98" t="s">
        <v>39</v>
      </c>
    </row>
    <row r="99" spans="1:13" x14ac:dyDescent="0.35">
      <c r="A99">
        <v>5411</v>
      </c>
      <c r="B99" t="s">
        <v>93</v>
      </c>
      <c r="C99" t="s">
        <v>250</v>
      </c>
      <c r="D99" t="s">
        <v>76</v>
      </c>
      <c r="E99" t="s">
        <v>35</v>
      </c>
      <c r="F99" t="s">
        <v>155</v>
      </c>
      <c r="G99">
        <v>1</v>
      </c>
      <c r="H99" t="s">
        <v>251</v>
      </c>
      <c r="I99" t="s">
        <v>43</v>
      </c>
      <c r="J99" t="s">
        <v>110</v>
      </c>
      <c r="K99" t="s">
        <v>84</v>
      </c>
      <c r="M99" t="s">
        <v>31</v>
      </c>
    </row>
    <row r="100" spans="1:13" x14ac:dyDescent="0.35">
      <c r="A100">
        <v>5183</v>
      </c>
      <c r="B100" t="s">
        <v>120</v>
      </c>
      <c r="C100" t="s">
        <v>252</v>
      </c>
      <c r="D100" t="s">
        <v>76</v>
      </c>
      <c r="E100" t="s">
        <v>35</v>
      </c>
      <c r="F100" t="s">
        <v>155</v>
      </c>
      <c r="G100">
        <v>2</v>
      </c>
      <c r="H100" t="s">
        <v>253</v>
      </c>
      <c r="I100" t="s">
        <v>54</v>
      </c>
      <c r="J100" t="s">
        <v>47</v>
      </c>
      <c r="K100" t="s">
        <v>21</v>
      </c>
      <c r="M100" t="s">
        <v>39</v>
      </c>
    </row>
    <row r="101" spans="1:13" x14ac:dyDescent="0.35">
      <c r="A101">
        <v>5447</v>
      </c>
      <c r="B101" t="s">
        <v>74</v>
      </c>
      <c r="C101" t="s">
        <v>254</v>
      </c>
      <c r="D101" t="s">
        <v>25</v>
      </c>
      <c r="E101" t="s">
        <v>64</v>
      </c>
      <c r="F101" t="s">
        <v>116</v>
      </c>
      <c r="H101" t="s">
        <v>255</v>
      </c>
      <c r="I101" t="s">
        <v>18</v>
      </c>
      <c r="J101" t="s">
        <v>114</v>
      </c>
      <c r="K101" t="s">
        <v>48</v>
      </c>
      <c r="M101" t="s">
        <v>39</v>
      </c>
    </row>
    <row r="102" spans="1:13" x14ac:dyDescent="0.35">
      <c r="A102">
        <v>5062</v>
      </c>
      <c r="B102" t="s">
        <v>126</v>
      </c>
      <c r="C102" t="s">
        <v>121</v>
      </c>
      <c r="D102" t="s">
        <v>57</v>
      </c>
      <c r="E102" t="s">
        <v>16</v>
      </c>
      <c r="F102" t="s">
        <v>170</v>
      </c>
      <c r="G102">
        <v>3</v>
      </c>
      <c r="H102" t="s">
        <v>256</v>
      </c>
      <c r="I102" t="s">
        <v>71</v>
      </c>
      <c r="J102" t="s">
        <v>110</v>
      </c>
      <c r="K102" t="s">
        <v>44</v>
      </c>
      <c r="M102" t="s">
        <v>67</v>
      </c>
    </row>
    <row r="103" spans="1:13" x14ac:dyDescent="0.35">
      <c r="A103">
        <v>5015</v>
      </c>
      <c r="B103" t="s">
        <v>55</v>
      </c>
      <c r="C103" t="s">
        <v>257</v>
      </c>
      <c r="D103" t="s">
        <v>25</v>
      </c>
      <c r="E103" t="s">
        <v>35</v>
      </c>
      <c r="F103" t="s">
        <v>58</v>
      </c>
      <c r="G103">
        <v>1</v>
      </c>
      <c r="H103" t="s">
        <v>258</v>
      </c>
      <c r="I103" t="s">
        <v>18</v>
      </c>
      <c r="J103" t="s">
        <v>78</v>
      </c>
      <c r="K103" t="s">
        <v>21</v>
      </c>
      <c r="M103" t="s">
        <v>79</v>
      </c>
    </row>
    <row r="104" spans="1:13" x14ac:dyDescent="0.35">
      <c r="A104">
        <v>5228</v>
      </c>
      <c r="B104" t="s">
        <v>74</v>
      </c>
      <c r="C104" t="s">
        <v>259</v>
      </c>
      <c r="D104" t="s">
        <v>34</v>
      </c>
      <c r="E104" t="s">
        <v>16</v>
      </c>
      <c r="F104" t="s">
        <v>170</v>
      </c>
      <c r="G104">
        <v>3</v>
      </c>
      <c r="H104" t="s">
        <v>260</v>
      </c>
      <c r="I104" t="s">
        <v>54</v>
      </c>
      <c r="J104" t="s">
        <v>78</v>
      </c>
      <c r="K104" t="s">
        <v>48</v>
      </c>
      <c r="M104" t="s">
        <v>73</v>
      </c>
    </row>
    <row r="105" spans="1:13" x14ac:dyDescent="0.35">
      <c r="A105">
        <v>5458</v>
      </c>
      <c r="B105" t="s">
        <v>80</v>
      </c>
      <c r="C105" t="s">
        <v>261</v>
      </c>
      <c r="D105" t="s">
        <v>76</v>
      </c>
      <c r="E105" t="s">
        <v>16</v>
      </c>
      <c r="F105" t="s">
        <v>17</v>
      </c>
      <c r="H105" t="s">
        <v>262</v>
      </c>
      <c r="I105" t="s">
        <v>71</v>
      </c>
      <c r="J105" t="s">
        <v>87</v>
      </c>
      <c r="K105" t="s">
        <v>44</v>
      </c>
      <c r="M105" t="s">
        <v>22</v>
      </c>
    </row>
    <row r="106" spans="1:13" x14ac:dyDescent="0.35">
      <c r="A106">
        <v>5438</v>
      </c>
      <c r="B106" t="s">
        <v>74</v>
      </c>
      <c r="C106" t="s">
        <v>263</v>
      </c>
      <c r="D106" t="s">
        <v>34</v>
      </c>
      <c r="E106" t="s">
        <v>35</v>
      </c>
      <c r="F106" t="s">
        <v>136</v>
      </c>
      <c r="G106">
        <v>5</v>
      </c>
      <c r="H106" t="s">
        <v>264</v>
      </c>
      <c r="I106" t="s">
        <v>19</v>
      </c>
      <c r="J106" t="s">
        <v>114</v>
      </c>
      <c r="K106" t="s">
        <v>21</v>
      </c>
      <c r="M106" t="s">
        <v>22</v>
      </c>
    </row>
    <row r="107" spans="1:13" x14ac:dyDescent="0.35">
      <c r="A107">
        <v>5462</v>
      </c>
      <c r="B107" t="s">
        <v>151</v>
      </c>
      <c r="C107" t="s">
        <v>265</v>
      </c>
      <c r="D107" t="s">
        <v>57</v>
      </c>
      <c r="E107" t="s">
        <v>64</v>
      </c>
      <c r="F107" t="s">
        <v>77</v>
      </c>
      <c r="H107" t="s">
        <v>266</v>
      </c>
      <c r="I107" t="s">
        <v>54</v>
      </c>
      <c r="J107" t="s">
        <v>114</v>
      </c>
      <c r="K107" t="s">
        <v>84</v>
      </c>
    </row>
    <row r="108" spans="1:13" x14ac:dyDescent="0.35">
      <c r="A108">
        <v>5311</v>
      </c>
      <c r="B108" t="s">
        <v>129</v>
      </c>
      <c r="C108" t="s">
        <v>267</v>
      </c>
      <c r="D108" t="s">
        <v>76</v>
      </c>
      <c r="E108" t="s">
        <v>16</v>
      </c>
      <c r="F108" t="s">
        <v>17</v>
      </c>
      <c r="H108" t="s">
        <v>18</v>
      </c>
      <c r="I108" t="s">
        <v>18</v>
      </c>
      <c r="J108" t="s">
        <v>114</v>
      </c>
      <c r="K108" t="s">
        <v>44</v>
      </c>
      <c r="M108" t="s">
        <v>31</v>
      </c>
    </row>
    <row r="109" spans="1:13" x14ac:dyDescent="0.35">
      <c r="A109">
        <v>5079</v>
      </c>
      <c r="B109" t="s">
        <v>13</v>
      </c>
      <c r="C109" t="s">
        <v>268</v>
      </c>
      <c r="D109" t="s">
        <v>86</v>
      </c>
      <c r="E109" t="s">
        <v>26</v>
      </c>
      <c r="F109" t="s">
        <v>112</v>
      </c>
      <c r="G109">
        <v>5</v>
      </c>
      <c r="H109" t="s">
        <v>269</v>
      </c>
      <c r="I109" t="s">
        <v>71</v>
      </c>
      <c r="J109" t="s">
        <v>30</v>
      </c>
      <c r="K109" t="s">
        <v>48</v>
      </c>
      <c r="M109" t="s">
        <v>73</v>
      </c>
    </row>
    <row r="110" spans="1:13" x14ac:dyDescent="0.35">
      <c r="A110">
        <v>5485</v>
      </c>
      <c r="B110" t="s">
        <v>129</v>
      </c>
      <c r="C110" t="s">
        <v>270</v>
      </c>
      <c r="D110" t="s">
        <v>51</v>
      </c>
      <c r="E110" t="s">
        <v>26</v>
      </c>
      <c r="F110" t="s">
        <v>27</v>
      </c>
      <c r="G110">
        <v>4</v>
      </c>
      <c r="H110" t="s">
        <v>18</v>
      </c>
      <c r="I110" t="s">
        <v>18</v>
      </c>
      <c r="J110" t="s">
        <v>153</v>
      </c>
      <c r="K110" t="s">
        <v>84</v>
      </c>
      <c r="M110" t="s">
        <v>39</v>
      </c>
    </row>
    <row r="111" spans="1:13" x14ac:dyDescent="0.35">
      <c r="A111">
        <v>5334</v>
      </c>
      <c r="B111" t="s">
        <v>32</v>
      </c>
      <c r="C111" t="s">
        <v>271</v>
      </c>
      <c r="D111" t="s">
        <v>51</v>
      </c>
      <c r="E111" t="s">
        <v>16</v>
      </c>
      <c r="F111" t="s">
        <v>82</v>
      </c>
      <c r="G111">
        <v>1</v>
      </c>
      <c r="H111" t="s">
        <v>272</v>
      </c>
      <c r="I111" t="s">
        <v>18</v>
      </c>
      <c r="J111" t="s">
        <v>78</v>
      </c>
      <c r="K111" t="s">
        <v>84</v>
      </c>
      <c r="M111" t="s">
        <v>22</v>
      </c>
    </row>
    <row r="112" spans="1:13" x14ac:dyDescent="0.35">
      <c r="A112">
        <v>5243</v>
      </c>
      <c r="B112" t="s">
        <v>102</v>
      </c>
      <c r="C112" t="s">
        <v>273</v>
      </c>
      <c r="D112" t="s">
        <v>86</v>
      </c>
      <c r="E112" t="s">
        <v>16</v>
      </c>
      <c r="F112" t="s">
        <v>42</v>
      </c>
      <c r="H112" t="s">
        <v>18</v>
      </c>
      <c r="I112" t="s">
        <v>19</v>
      </c>
      <c r="J112" t="s">
        <v>153</v>
      </c>
      <c r="K112" t="s">
        <v>21</v>
      </c>
      <c r="M112" t="s">
        <v>67</v>
      </c>
    </row>
    <row r="113" spans="1:13" x14ac:dyDescent="0.35">
      <c r="A113">
        <v>5193</v>
      </c>
      <c r="B113" t="s">
        <v>129</v>
      </c>
      <c r="C113" t="s">
        <v>274</v>
      </c>
      <c r="D113" t="s">
        <v>51</v>
      </c>
      <c r="E113" t="s">
        <v>64</v>
      </c>
      <c r="F113" t="s">
        <v>133</v>
      </c>
      <c r="G113">
        <v>2</v>
      </c>
      <c r="H113" t="s">
        <v>18</v>
      </c>
      <c r="I113" t="s">
        <v>19</v>
      </c>
      <c r="J113" t="s">
        <v>153</v>
      </c>
      <c r="K113" t="s">
        <v>48</v>
      </c>
      <c r="M113" t="s">
        <v>67</v>
      </c>
    </row>
    <row r="114" spans="1:13" x14ac:dyDescent="0.35">
      <c r="A114">
        <v>5441</v>
      </c>
      <c r="B114" t="s">
        <v>129</v>
      </c>
      <c r="C114" t="s">
        <v>275</v>
      </c>
      <c r="D114" t="s">
        <v>34</v>
      </c>
      <c r="E114" t="s">
        <v>16</v>
      </c>
      <c r="F114" t="s">
        <v>109</v>
      </c>
      <c r="G114">
        <v>3</v>
      </c>
      <c r="H114" t="s">
        <v>276</v>
      </c>
      <c r="I114" t="s">
        <v>19</v>
      </c>
      <c r="J114" t="s">
        <v>114</v>
      </c>
      <c r="K114" t="s">
        <v>72</v>
      </c>
      <c r="M114" t="s">
        <v>79</v>
      </c>
    </row>
    <row r="115" spans="1:13" x14ac:dyDescent="0.35">
      <c r="A115">
        <v>5029</v>
      </c>
      <c r="B115" t="s">
        <v>96</v>
      </c>
      <c r="C115" t="s">
        <v>277</v>
      </c>
      <c r="D115" t="s">
        <v>98</v>
      </c>
      <c r="E115" t="s">
        <v>64</v>
      </c>
      <c r="F115" t="s">
        <v>116</v>
      </c>
      <c r="G115">
        <v>1</v>
      </c>
      <c r="H115" t="s">
        <v>278</v>
      </c>
      <c r="I115" t="s">
        <v>54</v>
      </c>
      <c r="J115" t="s">
        <v>20</v>
      </c>
      <c r="K115" t="s">
        <v>61</v>
      </c>
      <c r="M115" t="s">
        <v>22</v>
      </c>
    </row>
    <row r="116" spans="1:13" x14ac:dyDescent="0.35">
      <c r="A116">
        <v>5153</v>
      </c>
      <c r="B116" t="s">
        <v>32</v>
      </c>
      <c r="C116" t="s">
        <v>279</v>
      </c>
      <c r="D116" t="s">
        <v>25</v>
      </c>
      <c r="E116" t="s">
        <v>16</v>
      </c>
      <c r="F116" t="s">
        <v>82</v>
      </c>
      <c r="H116" t="s">
        <v>280</v>
      </c>
      <c r="I116" t="s">
        <v>19</v>
      </c>
      <c r="J116" t="s">
        <v>20</v>
      </c>
      <c r="K116" t="s">
        <v>84</v>
      </c>
      <c r="M116" t="s">
        <v>67</v>
      </c>
    </row>
    <row r="117" spans="1:13" x14ac:dyDescent="0.35">
      <c r="A117">
        <v>5043</v>
      </c>
      <c r="B117" t="s">
        <v>102</v>
      </c>
      <c r="C117" t="s">
        <v>281</v>
      </c>
      <c r="D117" t="s">
        <v>15</v>
      </c>
      <c r="E117" t="s">
        <v>35</v>
      </c>
      <c r="F117" t="s">
        <v>136</v>
      </c>
      <c r="G117">
        <v>2</v>
      </c>
      <c r="H117" t="s">
        <v>18</v>
      </c>
      <c r="I117" t="s">
        <v>43</v>
      </c>
      <c r="J117" t="s">
        <v>78</v>
      </c>
      <c r="K117" t="s">
        <v>84</v>
      </c>
      <c r="M117" t="s">
        <v>79</v>
      </c>
    </row>
    <row r="118" spans="1:13" x14ac:dyDescent="0.35">
      <c r="A118">
        <v>5209</v>
      </c>
      <c r="B118" t="s">
        <v>88</v>
      </c>
      <c r="C118" t="s">
        <v>282</v>
      </c>
      <c r="D118" t="s">
        <v>86</v>
      </c>
      <c r="E118" t="s">
        <v>26</v>
      </c>
      <c r="F118" t="s">
        <v>167</v>
      </c>
      <c r="G118">
        <v>2</v>
      </c>
      <c r="H118" t="s">
        <v>283</v>
      </c>
      <c r="I118" t="s">
        <v>18</v>
      </c>
      <c r="J118" t="s">
        <v>60</v>
      </c>
      <c r="K118" t="s">
        <v>72</v>
      </c>
      <c r="M118" t="s">
        <v>31</v>
      </c>
    </row>
    <row r="119" spans="1:13" x14ac:dyDescent="0.35">
      <c r="A119">
        <v>5221</v>
      </c>
      <c r="B119" t="s">
        <v>102</v>
      </c>
      <c r="C119" t="s">
        <v>284</v>
      </c>
      <c r="D119" t="s">
        <v>51</v>
      </c>
      <c r="E119" t="s">
        <v>64</v>
      </c>
      <c r="F119" t="s">
        <v>65</v>
      </c>
      <c r="G119">
        <v>1</v>
      </c>
      <c r="H119" t="s">
        <v>18</v>
      </c>
      <c r="I119" t="s">
        <v>19</v>
      </c>
      <c r="J119" t="s">
        <v>153</v>
      </c>
      <c r="K119" t="s">
        <v>61</v>
      </c>
      <c r="M119" t="s">
        <v>39</v>
      </c>
    </row>
    <row r="120" spans="1:13" x14ac:dyDescent="0.35">
      <c r="A120">
        <v>5240</v>
      </c>
      <c r="B120" t="s">
        <v>102</v>
      </c>
      <c r="C120" t="s">
        <v>285</v>
      </c>
      <c r="D120" t="s">
        <v>76</v>
      </c>
      <c r="E120" t="s">
        <v>16</v>
      </c>
      <c r="F120" t="s">
        <v>82</v>
      </c>
      <c r="G120">
        <v>5</v>
      </c>
      <c r="H120" t="s">
        <v>286</v>
      </c>
      <c r="I120" t="s">
        <v>19</v>
      </c>
      <c r="J120" t="s">
        <v>47</v>
      </c>
      <c r="K120" t="s">
        <v>38</v>
      </c>
      <c r="M120" t="s">
        <v>31</v>
      </c>
    </row>
    <row r="121" spans="1:13" x14ac:dyDescent="0.35">
      <c r="A121">
        <v>5266</v>
      </c>
      <c r="B121" t="s">
        <v>40</v>
      </c>
      <c r="C121" t="s">
        <v>101</v>
      </c>
      <c r="D121" t="s">
        <v>25</v>
      </c>
      <c r="E121" t="s">
        <v>26</v>
      </c>
      <c r="F121" t="s">
        <v>46</v>
      </c>
      <c r="G121">
        <v>2</v>
      </c>
      <c r="H121" t="s">
        <v>287</v>
      </c>
      <c r="I121" t="s">
        <v>71</v>
      </c>
      <c r="J121" t="s">
        <v>47</v>
      </c>
      <c r="K121" t="s">
        <v>72</v>
      </c>
      <c r="M121" t="s">
        <v>79</v>
      </c>
    </row>
    <row r="122" spans="1:13" x14ac:dyDescent="0.35">
      <c r="A122">
        <v>5086</v>
      </c>
      <c r="B122" t="s">
        <v>74</v>
      </c>
      <c r="C122" t="s">
        <v>288</v>
      </c>
      <c r="D122" t="s">
        <v>108</v>
      </c>
      <c r="E122" t="s">
        <v>64</v>
      </c>
      <c r="F122" t="s">
        <v>65</v>
      </c>
      <c r="H122" t="s">
        <v>289</v>
      </c>
      <c r="I122" t="s">
        <v>19</v>
      </c>
      <c r="J122" t="s">
        <v>78</v>
      </c>
      <c r="K122" t="s">
        <v>21</v>
      </c>
      <c r="M122" t="s">
        <v>67</v>
      </c>
    </row>
    <row r="123" spans="1:13" x14ac:dyDescent="0.35">
      <c r="A123">
        <v>5292</v>
      </c>
      <c r="B123" t="s">
        <v>96</v>
      </c>
      <c r="C123" t="s">
        <v>290</v>
      </c>
      <c r="D123" t="s">
        <v>25</v>
      </c>
      <c r="E123" t="s">
        <v>16</v>
      </c>
      <c r="F123" t="s">
        <v>170</v>
      </c>
      <c r="G123">
        <v>4</v>
      </c>
      <c r="H123" t="s">
        <v>291</v>
      </c>
      <c r="I123" t="s">
        <v>43</v>
      </c>
      <c r="J123" t="s">
        <v>87</v>
      </c>
      <c r="K123" t="s">
        <v>72</v>
      </c>
      <c r="M123" t="s">
        <v>22</v>
      </c>
    </row>
    <row r="124" spans="1:13" x14ac:dyDescent="0.35">
      <c r="A124">
        <v>5254</v>
      </c>
      <c r="B124" t="s">
        <v>126</v>
      </c>
      <c r="C124" t="s">
        <v>292</v>
      </c>
      <c r="D124" t="s">
        <v>86</v>
      </c>
      <c r="E124" t="s">
        <v>26</v>
      </c>
      <c r="F124" t="s">
        <v>27</v>
      </c>
      <c r="G124">
        <v>1</v>
      </c>
      <c r="H124" t="s">
        <v>293</v>
      </c>
      <c r="I124" t="s">
        <v>29</v>
      </c>
      <c r="J124" t="s">
        <v>47</v>
      </c>
      <c r="K124" t="s">
        <v>72</v>
      </c>
      <c r="M124" t="s">
        <v>73</v>
      </c>
    </row>
    <row r="125" spans="1:13" x14ac:dyDescent="0.35">
      <c r="A125">
        <v>5381</v>
      </c>
      <c r="B125" t="s">
        <v>68</v>
      </c>
      <c r="C125" t="s">
        <v>294</v>
      </c>
      <c r="D125" t="s">
        <v>98</v>
      </c>
      <c r="E125" t="s">
        <v>64</v>
      </c>
      <c r="F125" t="s">
        <v>141</v>
      </c>
      <c r="H125" t="s">
        <v>18</v>
      </c>
      <c r="J125" t="s">
        <v>110</v>
      </c>
      <c r="K125" t="s">
        <v>84</v>
      </c>
      <c r="M125" t="s">
        <v>79</v>
      </c>
    </row>
    <row r="126" spans="1:13" x14ac:dyDescent="0.35">
      <c r="A126">
        <v>5260</v>
      </c>
      <c r="B126" t="s">
        <v>88</v>
      </c>
      <c r="C126" t="s">
        <v>295</v>
      </c>
      <c r="D126" t="s">
        <v>51</v>
      </c>
      <c r="E126" t="s">
        <v>26</v>
      </c>
      <c r="F126" t="s">
        <v>167</v>
      </c>
      <c r="G126">
        <v>3</v>
      </c>
      <c r="H126" t="s">
        <v>296</v>
      </c>
      <c r="J126" t="s">
        <v>114</v>
      </c>
      <c r="K126" t="s">
        <v>72</v>
      </c>
      <c r="M126" t="s">
        <v>79</v>
      </c>
    </row>
    <row r="127" spans="1:13" x14ac:dyDescent="0.35">
      <c r="A127">
        <v>5069</v>
      </c>
      <c r="B127" t="s">
        <v>68</v>
      </c>
      <c r="C127" t="s">
        <v>297</v>
      </c>
      <c r="D127" t="s">
        <v>34</v>
      </c>
      <c r="E127" t="s">
        <v>35</v>
      </c>
      <c r="F127" t="s">
        <v>36</v>
      </c>
      <c r="G127">
        <v>2</v>
      </c>
      <c r="H127" t="s">
        <v>298</v>
      </c>
      <c r="I127" t="s">
        <v>29</v>
      </c>
      <c r="J127" t="s">
        <v>87</v>
      </c>
      <c r="K127" t="s">
        <v>84</v>
      </c>
      <c r="M127" t="s">
        <v>73</v>
      </c>
    </row>
    <row r="128" spans="1:13" x14ac:dyDescent="0.35">
      <c r="A128">
        <v>5368</v>
      </c>
      <c r="B128" t="s">
        <v>40</v>
      </c>
      <c r="C128" t="s">
        <v>299</v>
      </c>
      <c r="D128" t="s">
        <v>86</v>
      </c>
      <c r="E128" t="s">
        <v>26</v>
      </c>
      <c r="F128" t="s">
        <v>112</v>
      </c>
      <c r="G128">
        <v>1</v>
      </c>
      <c r="H128" t="s">
        <v>300</v>
      </c>
      <c r="I128" t="s">
        <v>43</v>
      </c>
      <c r="J128" t="s">
        <v>20</v>
      </c>
      <c r="K128" t="s">
        <v>72</v>
      </c>
      <c r="M128" t="s">
        <v>67</v>
      </c>
    </row>
    <row r="129" spans="1:13" x14ac:dyDescent="0.35">
      <c r="A129">
        <v>5354</v>
      </c>
      <c r="B129" t="s">
        <v>88</v>
      </c>
      <c r="C129" t="s">
        <v>301</v>
      </c>
      <c r="D129" t="s">
        <v>57</v>
      </c>
      <c r="E129" t="s">
        <v>26</v>
      </c>
      <c r="F129" t="s">
        <v>112</v>
      </c>
      <c r="H129" t="s">
        <v>302</v>
      </c>
      <c r="I129" t="s">
        <v>71</v>
      </c>
      <c r="J129" t="s">
        <v>110</v>
      </c>
      <c r="K129" t="s">
        <v>48</v>
      </c>
      <c r="M129" t="s">
        <v>22</v>
      </c>
    </row>
    <row r="130" spans="1:13" x14ac:dyDescent="0.35">
      <c r="A130">
        <v>5160</v>
      </c>
      <c r="B130" t="s">
        <v>88</v>
      </c>
      <c r="C130" t="s">
        <v>303</v>
      </c>
      <c r="D130" t="s">
        <v>57</v>
      </c>
      <c r="E130" t="s">
        <v>16</v>
      </c>
      <c r="F130" t="s">
        <v>109</v>
      </c>
      <c r="G130">
        <v>2</v>
      </c>
      <c r="H130" t="s">
        <v>18</v>
      </c>
      <c r="I130" t="s">
        <v>54</v>
      </c>
      <c r="J130" t="s">
        <v>47</v>
      </c>
      <c r="K130" t="s">
        <v>38</v>
      </c>
      <c r="M130" t="s">
        <v>31</v>
      </c>
    </row>
    <row r="131" spans="1:13" x14ac:dyDescent="0.35">
      <c r="A131">
        <v>5345</v>
      </c>
      <c r="B131" t="s">
        <v>68</v>
      </c>
      <c r="C131" t="s">
        <v>304</v>
      </c>
      <c r="D131" t="s">
        <v>57</v>
      </c>
      <c r="E131" t="s">
        <v>64</v>
      </c>
      <c r="F131" t="s">
        <v>141</v>
      </c>
      <c r="H131" t="s">
        <v>305</v>
      </c>
      <c r="I131" t="s">
        <v>29</v>
      </c>
      <c r="J131" t="s">
        <v>47</v>
      </c>
      <c r="K131" t="s">
        <v>21</v>
      </c>
      <c r="M131" t="s">
        <v>22</v>
      </c>
    </row>
    <row r="132" spans="1:13" x14ac:dyDescent="0.35">
      <c r="A132">
        <v>5047</v>
      </c>
      <c r="B132" t="s">
        <v>306</v>
      </c>
      <c r="C132" t="s">
        <v>307</v>
      </c>
      <c r="D132" t="s">
        <v>57</v>
      </c>
      <c r="E132" t="s">
        <v>16</v>
      </c>
      <c r="F132" t="s">
        <v>42</v>
      </c>
      <c r="G132">
        <v>4</v>
      </c>
      <c r="H132" t="s">
        <v>308</v>
      </c>
      <c r="I132" t="s">
        <v>29</v>
      </c>
      <c r="J132" t="s">
        <v>87</v>
      </c>
      <c r="K132" t="s">
        <v>21</v>
      </c>
      <c r="M132" t="s">
        <v>22</v>
      </c>
    </row>
    <row r="133" spans="1:13" x14ac:dyDescent="0.35">
      <c r="A133">
        <v>5321</v>
      </c>
      <c r="B133" t="s">
        <v>88</v>
      </c>
      <c r="C133" t="s">
        <v>309</v>
      </c>
      <c r="D133" t="s">
        <v>25</v>
      </c>
      <c r="E133" t="s">
        <v>26</v>
      </c>
      <c r="F133" t="s">
        <v>46</v>
      </c>
      <c r="G133">
        <v>4</v>
      </c>
      <c r="H133" t="s">
        <v>18</v>
      </c>
      <c r="I133" t="s">
        <v>18</v>
      </c>
      <c r="J133" t="s">
        <v>153</v>
      </c>
      <c r="K133" t="s">
        <v>38</v>
      </c>
      <c r="M133" t="s">
        <v>22</v>
      </c>
    </row>
    <row r="134" spans="1:13" x14ac:dyDescent="0.35">
      <c r="A134">
        <v>5169</v>
      </c>
      <c r="B134" t="s">
        <v>117</v>
      </c>
      <c r="C134" t="s">
        <v>310</v>
      </c>
      <c r="D134" t="s">
        <v>15</v>
      </c>
      <c r="E134" t="s">
        <v>26</v>
      </c>
      <c r="F134" t="s">
        <v>52</v>
      </c>
      <c r="G134">
        <v>3</v>
      </c>
      <c r="H134" t="s">
        <v>311</v>
      </c>
      <c r="I134" t="s">
        <v>54</v>
      </c>
      <c r="J134" t="s">
        <v>78</v>
      </c>
      <c r="K134" t="s">
        <v>21</v>
      </c>
      <c r="M134" t="s">
        <v>39</v>
      </c>
    </row>
    <row r="135" spans="1:13" x14ac:dyDescent="0.35">
      <c r="A135">
        <v>5011</v>
      </c>
      <c r="B135" t="s">
        <v>55</v>
      </c>
      <c r="C135" t="s">
        <v>312</v>
      </c>
      <c r="D135" t="s">
        <v>34</v>
      </c>
      <c r="E135" t="s">
        <v>16</v>
      </c>
      <c r="F135" t="s">
        <v>109</v>
      </c>
      <c r="G135">
        <v>3</v>
      </c>
      <c r="H135" t="s">
        <v>313</v>
      </c>
      <c r="I135" t="s">
        <v>18</v>
      </c>
      <c r="J135" t="s">
        <v>20</v>
      </c>
      <c r="K135" t="s">
        <v>44</v>
      </c>
      <c r="M135" t="s">
        <v>31</v>
      </c>
    </row>
    <row r="136" spans="1:13" x14ac:dyDescent="0.35">
      <c r="A136">
        <v>5383</v>
      </c>
      <c r="B136" t="s">
        <v>13</v>
      </c>
      <c r="C136" t="s">
        <v>314</v>
      </c>
      <c r="D136" t="s">
        <v>98</v>
      </c>
      <c r="E136" t="s">
        <v>35</v>
      </c>
      <c r="F136" t="s">
        <v>36</v>
      </c>
      <c r="G136">
        <v>5</v>
      </c>
      <c r="H136" t="s">
        <v>315</v>
      </c>
      <c r="I136" t="s">
        <v>29</v>
      </c>
      <c r="J136" t="s">
        <v>30</v>
      </c>
      <c r="K136" t="s">
        <v>61</v>
      </c>
      <c r="M136" t="s">
        <v>67</v>
      </c>
    </row>
    <row r="137" spans="1:13" x14ac:dyDescent="0.35">
      <c r="A137">
        <v>5409</v>
      </c>
      <c r="B137" t="s">
        <v>120</v>
      </c>
      <c r="C137" t="s">
        <v>316</v>
      </c>
      <c r="D137" t="s">
        <v>57</v>
      </c>
      <c r="E137" t="s">
        <v>64</v>
      </c>
      <c r="F137" t="s">
        <v>116</v>
      </c>
      <c r="H137" t="s">
        <v>317</v>
      </c>
      <c r="I137" t="s">
        <v>43</v>
      </c>
      <c r="J137" t="s">
        <v>30</v>
      </c>
      <c r="K137" t="s">
        <v>44</v>
      </c>
      <c r="M137" t="s">
        <v>39</v>
      </c>
    </row>
    <row r="138" spans="1:13" x14ac:dyDescent="0.35">
      <c r="A138">
        <v>5090</v>
      </c>
      <c r="B138" t="s">
        <v>55</v>
      </c>
      <c r="C138" t="s">
        <v>318</v>
      </c>
      <c r="D138" t="s">
        <v>25</v>
      </c>
      <c r="E138" t="s">
        <v>26</v>
      </c>
      <c r="F138" t="s">
        <v>52</v>
      </c>
      <c r="H138" t="s">
        <v>18</v>
      </c>
      <c r="I138" t="s">
        <v>43</v>
      </c>
      <c r="J138" t="s">
        <v>78</v>
      </c>
      <c r="K138" t="s">
        <v>38</v>
      </c>
      <c r="M138" t="s">
        <v>31</v>
      </c>
    </row>
    <row r="139" spans="1:13" x14ac:dyDescent="0.35">
      <c r="A139">
        <v>5215</v>
      </c>
      <c r="B139" t="s">
        <v>88</v>
      </c>
      <c r="C139" t="s">
        <v>319</v>
      </c>
      <c r="D139" t="s">
        <v>34</v>
      </c>
      <c r="E139" t="s">
        <v>26</v>
      </c>
      <c r="F139" t="s">
        <v>27</v>
      </c>
      <c r="G139">
        <v>1</v>
      </c>
      <c r="H139" t="s">
        <v>320</v>
      </c>
      <c r="J139" t="s">
        <v>78</v>
      </c>
      <c r="K139" t="s">
        <v>61</v>
      </c>
    </row>
    <row r="140" spans="1:13" x14ac:dyDescent="0.35">
      <c r="A140">
        <v>5207</v>
      </c>
      <c r="B140" t="s">
        <v>55</v>
      </c>
      <c r="C140" t="s">
        <v>321</v>
      </c>
      <c r="D140" t="s">
        <v>108</v>
      </c>
      <c r="E140" t="s">
        <v>16</v>
      </c>
      <c r="F140" t="s">
        <v>170</v>
      </c>
      <c r="G140">
        <v>4</v>
      </c>
      <c r="H140" t="s">
        <v>18</v>
      </c>
      <c r="I140" t="s">
        <v>43</v>
      </c>
      <c r="J140" t="s">
        <v>78</v>
      </c>
      <c r="K140" t="s">
        <v>44</v>
      </c>
      <c r="M140" t="s">
        <v>39</v>
      </c>
    </row>
    <row r="141" spans="1:13" x14ac:dyDescent="0.35">
      <c r="A141">
        <v>5219</v>
      </c>
      <c r="B141" t="s">
        <v>23</v>
      </c>
      <c r="C141" t="s">
        <v>322</v>
      </c>
      <c r="D141" t="s">
        <v>76</v>
      </c>
      <c r="E141" t="s">
        <v>64</v>
      </c>
      <c r="F141" t="s">
        <v>65</v>
      </c>
      <c r="H141" t="s">
        <v>323</v>
      </c>
      <c r="I141" t="s">
        <v>43</v>
      </c>
      <c r="J141" t="s">
        <v>78</v>
      </c>
      <c r="K141" t="s">
        <v>44</v>
      </c>
      <c r="M141" t="s">
        <v>79</v>
      </c>
    </row>
    <row r="142" spans="1:13" x14ac:dyDescent="0.35">
      <c r="A142">
        <v>5367</v>
      </c>
      <c r="B142" t="s">
        <v>55</v>
      </c>
      <c r="C142" t="s">
        <v>324</v>
      </c>
      <c r="D142" t="s">
        <v>25</v>
      </c>
      <c r="E142" t="s">
        <v>35</v>
      </c>
      <c r="F142" t="s">
        <v>99</v>
      </c>
      <c r="G142">
        <v>2</v>
      </c>
      <c r="H142" t="s">
        <v>18</v>
      </c>
      <c r="I142" t="s">
        <v>43</v>
      </c>
      <c r="J142" t="s">
        <v>114</v>
      </c>
      <c r="K142" t="s">
        <v>44</v>
      </c>
      <c r="M142" t="s">
        <v>39</v>
      </c>
    </row>
    <row r="143" spans="1:13" x14ac:dyDescent="0.35">
      <c r="A143">
        <v>5072</v>
      </c>
      <c r="B143" t="s">
        <v>55</v>
      </c>
      <c r="C143" t="s">
        <v>325</v>
      </c>
      <c r="D143" t="s">
        <v>76</v>
      </c>
      <c r="E143" t="s">
        <v>35</v>
      </c>
      <c r="F143" t="s">
        <v>99</v>
      </c>
      <c r="H143" t="s">
        <v>18</v>
      </c>
      <c r="I143" t="s">
        <v>18</v>
      </c>
      <c r="J143" t="s">
        <v>87</v>
      </c>
      <c r="K143" t="s">
        <v>61</v>
      </c>
      <c r="M143" t="s">
        <v>39</v>
      </c>
    </row>
    <row r="144" spans="1:13" x14ac:dyDescent="0.35">
      <c r="A144">
        <v>5134</v>
      </c>
      <c r="B144" t="s">
        <v>32</v>
      </c>
      <c r="C144" t="s">
        <v>326</v>
      </c>
      <c r="D144" t="s">
        <v>34</v>
      </c>
      <c r="E144" t="s">
        <v>16</v>
      </c>
      <c r="F144" t="s">
        <v>17</v>
      </c>
      <c r="G144">
        <v>2</v>
      </c>
      <c r="H144" t="s">
        <v>327</v>
      </c>
      <c r="I144" t="s">
        <v>43</v>
      </c>
      <c r="J144" t="s">
        <v>114</v>
      </c>
      <c r="K144" t="s">
        <v>61</v>
      </c>
      <c r="M144" t="s">
        <v>73</v>
      </c>
    </row>
    <row r="145" spans="1:13" x14ac:dyDescent="0.35">
      <c r="A145">
        <v>5161</v>
      </c>
      <c r="B145" t="s">
        <v>80</v>
      </c>
      <c r="C145" t="s">
        <v>328</v>
      </c>
      <c r="D145" t="s">
        <v>51</v>
      </c>
      <c r="E145" t="s">
        <v>35</v>
      </c>
      <c r="F145" t="s">
        <v>36</v>
      </c>
      <c r="G145">
        <v>1</v>
      </c>
      <c r="H145" t="s">
        <v>329</v>
      </c>
      <c r="I145" t="s">
        <v>29</v>
      </c>
      <c r="J145" t="s">
        <v>153</v>
      </c>
      <c r="K145" t="s">
        <v>48</v>
      </c>
      <c r="M145" t="s">
        <v>22</v>
      </c>
    </row>
    <row r="146" spans="1:13" x14ac:dyDescent="0.35">
      <c r="A146">
        <v>5358</v>
      </c>
      <c r="B146" t="s">
        <v>13</v>
      </c>
      <c r="C146" t="s">
        <v>207</v>
      </c>
      <c r="D146" t="s">
        <v>51</v>
      </c>
      <c r="E146" t="s">
        <v>35</v>
      </c>
      <c r="F146" t="s">
        <v>36</v>
      </c>
      <c r="G146">
        <v>5</v>
      </c>
      <c r="H146" t="s">
        <v>330</v>
      </c>
      <c r="I146" t="s">
        <v>29</v>
      </c>
      <c r="J146" t="s">
        <v>110</v>
      </c>
      <c r="K146" t="s">
        <v>72</v>
      </c>
      <c r="M146" t="s">
        <v>79</v>
      </c>
    </row>
    <row r="147" spans="1:13" x14ac:dyDescent="0.35">
      <c r="A147">
        <v>5396</v>
      </c>
      <c r="B147" t="s">
        <v>126</v>
      </c>
      <c r="C147" t="s">
        <v>331</v>
      </c>
      <c r="D147" t="s">
        <v>86</v>
      </c>
      <c r="E147" t="s">
        <v>64</v>
      </c>
      <c r="F147" t="s">
        <v>116</v>
      </c>
      <c r="G147">
        <v>1</v>
      </c>
      <c r="H147" t="s">
        <v>332</v>
      </c>
      <c r="I147" t="s">
        <v>19</v>
      </c>
      <c r="J147" t="s">
        <v>114</v>
      </c>
      <c r="K147" t="s">
        <v>48</v>
      </c>
      <c r="M147" t="s">
        <v>73</v>
      </c>
    </row>
    <row r="148" spans="1:13" x14ac:dyDescent="0.35">
      <c r="A148">
        <v>5499</v>
      </c>
      <c r="B148" t="s">
        <v>32</v>
      </c>
      <c r="C148" t="s">
        <v>333</v>
      </c>
      <c r="D148" t="s">
        <v>34</v>
      </c>
      <c r="E148" t="s">
        <v>64</v>
      </c>
      <c r="F148" t="s">
        <v>116</v>
      </c>
      <c r="G148">
        <v>4</v>
      </c>
      <c r="H148" t="s">
        <v>18</v>
      </c>
      <c r="I148" t="s">
        <v>71</v>
      </c>
      <c r="J148" t="s">
        <v>114</v>
      </c>
      <c r="K148" t="s">
        <v>44</v>
      </c>
      <c r="M148" t="s">
        <v>31</v>
      </c>
    </row>
    <row r="149" spans="1:13" x14ac:dyDescent="0.35">
      <c r="A149">
        <v>5327</v>
      </c>
      <c r="B149" t="s">
        <v>100</v>
      </c>
      <c r="C149" t="s">
        <v>334</v>
      </c>
      <c r="D149" t="s">
        <v>34</v>
      </c>
      <c r="E149" t="s">
        <v>35</v>
      </c>
      <c r="F149" t="s">
        <v>136</v>
      </c>
      <c r="G149">
        <v>5</v>
      </c>
      <c r="H149" t="s">
        <v>335</v>
      </c>
      <c r="I149" t="s">
        <v>43</v>
      </c>
      <c r="J149" t="s">
        <v>78</v>
      </c>
      <c r="K149" t="s">
        <v>84</v>
      </c>
      <c r="M149" t="s">
        <v>79</v>
      </c>
    </row>
    <row r="150" spans="1:13" x14ac:dyDescent="0.35">
      <c r="A150">
        <v>5288</v>
      </c>
      <c r="B150" t="s">
        <v>88</v>
      </c>
      <c r="C150" t="s">
        <v>336</v>
      </c>
      <c r="D150" t="s">
        <v>25</v>
      </c>
      <c r="E150" t="s">
        <v>26</v>
      </c>
      <c r="F150" t="s">
        <v>167</v>
      </c>
      <c r="G150">
        <v>2</v>
      </c>
      <c r="H150" t="s">
        <v>18</v>
      </c>
      <c r="J150" t="s">
        <v>47</v>
      </c>
      <c r="K150" t="s">
        <v>48</v>
      </c>
      <c r="M150" t="s">
        <v>39</v>
      </c>
    </row>
    <row r="151" spans="1:13" x14ac:dyDescent="0.35">
      <c r="A151">
        <v>5108</v>
      </c>
      <c r="B151" t="s">
        <v>102</v>
      </c>
      <c r="C151" t="s">
        <v>337</v>
      </c>
      <c r="D151" t="s">
        <v>76</v>
      </c>
      <c r="E151" t="s">
        <v>16</v>
      </c>
      <c r="F151" t="s">
        <v>170</v>
      </c>
      <c r="H151" t="s">
        <v>18</v>
      </c>
      <c r="I151" t="s">
        <v>19</v>
      </c>
      <c r="J151" t="s">
        <v>114</v>
      </c>
      <c r="K151" t="s">
        <v>21</v>
      </c>
      <c r="M151" t="s">
        <v>31</v>
      </c>
    </row>
    <row r="152" spans="1:13" x14ac:dyDescent="0.35">
      <c r="A152">
        <v>5229</v>
      </c>
      <c r="B152" t="s">
        <v>126</v>
      </c>
      <c r="C152" t="s">
        <v>338</v>
      </c>
      <c r="D152" t="s">
        <v>57</v>
      </c>
      <c r="E152" t="s">
        <v>64</v>
      </c>
      <c r="F152" t="s">
        <v>77</v>
      </c>
      <c r="G152">
        <v>1</v>
      </c>
      <c r="H152" t="s">
        <v>339</v>
      </c>
      <c r="I152" t="s">
        <v>29</v>
      </c>
      <c r="J152" t="s">
        <v>60</v>
      </c>
      <c r="K152" t="s">
        <v>72</v>
      </c>
      <c r="M152" t="s">
        <v>79</v>
      </c>
    </row>
    <row r="153" spans="1:13" x14ac:dyDescent="0.35">
      <c r="A153">
        <v>5067</v>
      </c>
      <c r="B153" t="s">
        <v>96</v>
      </c>
      <c r="C153" t="s">
        <v>340</v>
      </c>
      <c r="D153" t="s">
        <v>108</v>
      </c>
      <c r="E153" t="s">
        <v>16</v>
      </c>
      <c r="F153" t="s">
        <v>170</v>
      </c>
      <c r="G153">
        <v>1</v>
      </c>
      <c r="H153" t="s">
        <v>341</v>
      </c>
      <c r="I153" t="s">
        <v>71</v>
      </c>
      <c r="J153" t="s">
        <v>110</v>
      </c>
      <c r="K153" t="s">
        <v>84</v>
      </c>
      <c r="M153" t="s">
        <v>67</v>
      </c>
    </row>
    <row r="154" spans="1:13" x14ac:dyDescent="0.35">
      <c r="A154">
        <v>5344</v>
      </c>
      <c r="B154" t="s">
        <v>102</v>
      </c>
      <c r="C154" t="s">
        <v>342</v>
      </c>
      <c r="D154" t="s">
        <v>86</v>
      </c>
      <c r="E154" t="s">
        <v>64</v>
      </c>
      <c r="F154" t="s">
        <v>116</v>
      </c>
      <c r="G154">
        <v>1</v>
      </c>
      <c r="H154" t="s">
        <v>343</v>
      </c>
      <c r="I154" t="s">
        <v>71</v>
      </c>
      <c r="J154" t="s">
        <v>110</v>
      </c>
      <c r="K154" t="s">
        <v>61</v>
      </c>
      <c r="M154" t="s">
        <v>79</v>
      </c>
    </row>
    <row r="155" spans="1:13" x14ac:dyDescent="0.35">
      <c r="A155">
        <v>5276</v>
      </c>
      <c r="B155" t="s">
        <v>32</v>
      </c>
      <c r="C155" t="s">
        <v>344</v>
      </c>
      <c r="D155" t="s">
        <v>86</v>
      </c>
      <c r="E155" t="s">
        <v>64</v>
      </c>
      <c r="F155" t="s">
        <v>77</v>
      </c>
      <c r="G155">
        <v>3</v>
      </c>
      <c r="H155" t="s">
        <v>18</v>
      </c>
      <c r="I155" t="s">
        <v>29</v>
      </c>
      <c r="J155" t="s">
        <v>20</v>
      </c>
      <c r="K155" t="s">
        <v>48</v>
      </c>
      <c r="M155" t="s">
        <v>79</v>
      </c>
    </row>
    <row r="156" spans="1:13" x14ac:dyDescent="0.35">
      <c r="A156">
        <v>5332</v>
      </c>
      <c r="B156" t="s">
        <v>32</v>
      </c>
      <c r="C156" t="s">
        <v>41</v>
      </c>
      <c r="D156" t="s">
        <v>25</v>
      </c>
      <c r="E156" t="s">
        <v>64</v>
      </c>
      <c r="F156" t="s">
        <v>116</v>
      </c>
      <c r="G156">
        <v>5</v>
      </c>
      <c r="H156" t="s">
        <v>18</v>
      </c>
      <c r="I156" t="s">
        <v>43</v>
      </c>
      <c r="J156" t="s">
        <v>20</v>
      </c>
      <c r="K156" t="s">
        <v>38</v>
      </c>
      <c r="M156" t="s">
        <v>31</v>
      </c>
    </row>
    <row r="157" spans="1:13" x14ac:dyDescent="0.35">
      <c r="A157">
        <v>5259</v>
      </c>
      <c r="B157" t="s">
        <v>93</v>
      </c>
      <c r="C157" t="s">
        <v>345</v>
      </c>
      <c r="D157" t="s">
        <v>86</v>
      </c>
      <c r="E157" t="s">
        <v>16</v>
      </c>
      <c r="F157" t="s">
        <v>170</v>
      </c>
      <c r="G157">
        <v>1</v>
      </c>
      <c r="H157" t="s">
        <v>346</v>
      </c>
      <c r="I157" t="s">
        <v>18</v>
      </c>
      <c r="J157" t="s">
        <v>60</v>
      </c>
      <c r="K157" t="s">
        <v>84</v>
      </c>
      <c r="M157" t="s">
        <v>22</v>
      </c>
    </row>
    <row r="158" spans="1:13" x14ac:dyDescent="0.35">
      <c r="A158">
        <v>5105</v>
      </c>
      <c r="B158" t="s">
        <v>62</v>
      </c>
      <c r="C158" t="s">
        <v>347</v>
      </c>
      <c r="D158" t="s">
        <v>348</v>
      </c>
      <c r="E158" t="s">
        <v>16</v>
      </c>
      <c r="F158" t="s">
        <v>17</v>
      </c>
      <c r="G158">
        <v>1</v>
      </c>
      <c r="H158" t="s">
        <v>18</v>
      </c>
      <c r="I158" t="s">
        <v>18</v>
      </c>
      <c r="J158" t="s">
        <v>60</v>
      </c>
      <c r="K158" t="s">
        <v>84</v>
      </c>
      <c r="M158" t="s">
        <v>39</v>
      </c>
    </row>
    <row r="159" spans="1:13" x14ac:dyDescent="0.35">
      <c r="A159">
        <v>5188</v>
      </c>
      <c r="B159" t="s">
        <v>306</v>
      </c>
      <c r="C159" t="s">
        <v>349</v>
      </c>
      <c r="D159" t="s">
        <v>15</v>
      </c>
      <c r="E159" t="s">
        <v>35</v>
      </c>
      <c r="F159" t="s">
        <v>58</v>
      </c>
      <c r="G159">
        <v>1</v>
      </c>
      <c r="H159" t="s">
        <v>350</v>
      </c>
      <c r="I159" t="s">
        <v>71</v>
      </c>
      <c r="J159" t="s">
        <v>110</v>
      </c>
      <c r="K159" t="s">
        <v>48</v>
      </c>
      <c r="M159" t="s">
        <v>73</v>
      </c>
    </row>
    <row r="160" spans="1:13" x14ac:dyDescent="0.35">
      <c r="A160">
        <v>5365</v>
      </c>
      <c r="B160" t="s">
        <v>129</v>
      </c>
      <c r="C160" t="s">
        <v>351</v>
      </c>
      <c r="D160" t="s">
        <v>51</v>
      </c>
      <c r="E160" t="s">
        <v>26</v>
      </c>
      <c r="F160" t="s">
        <v>52</v>
      </c>
      <c r="G160">
        <v>5</v>
      </c>
      <c r="H160" t="s">
        <v>352</v>
      </c>
      <c r="I160" t="s">
        <v>19</v>
      </c>
      <c r="J160" t="s">
        <v>30</v>
      </c>
      <c r="K160" t="s">
        <v>61</v>
      </c>
      <c r="M160" t="s">
        <v>79</v>
      </c>
    </row>
    <row r="161" spans="1:13" x14ac:dyDescent="0.35">
      <c r="A161">
        <v>5395</v>
      </c>
      <c r="B161" t="s">
        <v>129</v>
      </c>
      <c r="C161" t="s">
        <v>353</v>
      </c>
      <c r="D161" t="s">
        <v>57</v>
      </c>
      <c r="E161" t="s">
        <v>16</v>
      </c>
      <c r="F161" t="s">
        <v>17</v>
      </c>
      <c r="G161">
        <v>5</v>
      </c>
      <c r="H161" t="s">
        <v>18</v>
      </c>
      <c r="J161" t="s">
        <v>114</v>
      </c>
      <c r="K161" t="s">
        <v>38</v>
      </c>
      <c r="M161" t="s">
        <v>31</v>
      </c>
    </row>
    <row r="162" spans="1:13" x14ac:dyDescent="0.35">
      <c r="A162">
        <v>5273</v>
      </c>
      <c r="B162" t="s">
        <v>55</v>
      </c>
      <c r="C162" t="s">
        <v>354</v>
      </c>
      <c r="D162" t="s">
        <v>76</v>
      </c>
      <c r="E162" t="s">
        <v>16</v>
      </c>
      <c r="F162" t="s">
        <v>17</v>
      </c>
      <c r="G162">
        <v>1</v>
      </c>
      <c r="H162" t="s">
        <v>18</v>
      </c>
      <c r="I162" t="s">
        <v>29</v>
      </c>
      <c r="J162" t="s">
        <v>153</v>
      </c>
      <c r="K162" t="s">
        <v>21</v>
      </c>
      <c r="M162" t="s">
        <v>79</v>
      </c>
    </row>
    <row r="163" spans="1:13" x14ac:dyDescent="0.35">
      <c r="A163">
        <v>5022</v>
      </c>
      <c r="B163" t="s">
        <v>68</v>
      </c>
      <c r="C163" t="s">
        <v>355</v>
      </c>
      <c r="D163" t="s">
        <v>86</v>
      </c>
      <c r="E163" t="s">
        <v>64</v>
      </c>
      <c r="F163" t="s">
        <v>141</v>
      </c>
      <c r="G163">
        <v>3</v>
      </c>
      <c r="H163" t="s">
        <v>18</v>
      </c>
      <c r="I163" t="s">
        <v>29</v>
      </c>
      <c r="J163" t="s">
        <v>20</v>
      </c>
      <c r="K163" t="s">
        <v>84</v>
      </c>
      <c r="M163" t="s">
        <v>79</v>
      </c>
    </row>
    <row r="164" spans="1:13" x14ac:dyDescent="0.35">
      <c r="A164">
        <v>5130</v>
      </c>
      <c r="B164" t="s">
        <v>126</v>
      </c>
      <c r="C164" t="s">
        <v>356</v>
      </c>
      <c r="D164" t="s">
        <v>34</v>
      </c>
      <c r="E164" t="s">
        <v>16</v>
      </c>
      <c r="F164" t="s">
        <v>170</v>
      </c>
      <c r="G164">
        <v>2</v>
      </c>
      <c r="H164" t="s">
        <v>357</v>
      </c>
      <c r="I164" t="s">
        <v>54</v>
      </c>
      <c r="J164" t="s">
        <v>78</v>
      </c>
      <c r="K164" t="s">
        <v>21</v>
      </c>
      <c r="M164" t="s">
        <v>22</v>
      </c>
    </row>
    <row r="165" spans="1:13" x14ac:dyDescent="0.35">
      <c r="A165">
        <v>5136</v>
      </c>
      <c r="B165" t="s">
        <v>68</v>
      </c>
      <c r="C165" t="s">
        <v>281</v>
      </c>
      <c r="D165" t="s">
        <v>57</v>
      </c>
      <c r="E165" t="s">
        <v>16</v>
      </c>
      <c r="F165" t="s">
        <v>42</v>
      </c>
      <c r="G165">
        <v>2</v>
      </c>
      <c r="H165" t="s">
        <v>358</v>
      </c>
      <c r="I165" t="s">
        <v>19</v>
      </c>
      <c r="J165" t="s">
        <v>47</v>
      </c>
      <c r="K165" t="s">
        <v>61</v>
      </c>
      <c r="M165" t="s">
        <v>39</v>
      </c>
    </row>
    <row r="166" spans="1:13" x14ac:dyDescent="0.35">
      <c r="A166">
        <v>5412</v>
      </c>
      <c r="B166" t="s">
        <v>32</v>
      </c>
      <c r="C166" t="s">
        <v>359</v>
      </c>
      <c r="D166" t="s">
        <v>57</v>
      </c>
      <c r="E166" t="s">
        <v>35</v>
      </c>
      <c r="F166" t="s">
        <v>136</v>
      </c>
      <c r="G166">
        <v>3</v>
      </c>
      <c r="H166" t="s">
        <v>360</v>
      </c>
      <c r="I166" t="s">
        <v>29</v>
      </c>
      <c r="J166" t="s">
        <v>60</v>
      </c>
      <c r="K166" t="s">
        <v>44</v>
      </c>
      <c r="M166" t="s">
        <v>39</v>
      </c>
    </row>
    <row r="167" spans="1:13" x14ac:dyDescent="0.35">
      <c r="A167">
        <v>5452</v>
      </c>
      <c r="B167" t="s">
        <v>32</v>
      </c>
      <c r="C167" t="s">
        <v>361</v>
      </c>
      <c r="D167" t="s">
        <v>57</v>
      </c>
      <c r="E167" t="s">
        <v>26</v>
      </c>
      <c r="F167" t="s">
        <v>46</v>
      </c>
      <c r="H167" t="s">
        <v>362</v>
      </c>
      <c r="I167" t="s">
        <v>19</v>
      </c>
      <c r="J167" t="s">
        <v>110</v>
      </c>
      <c r="K167" t="s">
        <v>21</v>
      </c>
    </row>
    <row r="168" spans="1:13" x14ac:dyDescent="0.35">
      <c r="A168">
        <v>5316</v>
      </c>
      <c r="B168" t="s">
        <v>13</v>
      </c>
      <c r="C168" t="s">
        <v>363</v>
      </c>
      <c r="D168" t="s">
        <v>34</v>
      </c>
      <c r="E168" t="s">
        <v>16</v>
      </c>
      <c r="F168" t="s">
        <v>170</v>
      </c>
      <c r="G168">
        <v>1</v>
      </c>
      <c r="H168" t="s">
        <v>364</v>
      </c>
      <c r="I168" t="s">
        <v>71</v>
      </c>
      <c r="J168" t="s">
        <v>78</v>
      </c>
      <c r="K168" t="s">
        <v>44</v>
      </c>
      <c r="M168" t="s">
        <v>39</v>
      </c>
    </row>
    <row r="169" spans="1:13" x14ac:dyDescent="0.35">
      <c r="A169">
        <v>5123</v>
      </c>
      <c r="B169" t="s">
        <v>96</v>
      </c>
      <c r="C169" t="s">
        <v>365</v>
      </c>
      <c r="D169" t="s">
        <v>86</v>
      </c>
      <c r="E169" t="s">
        <v>35</v>
      </c>
      <c r="F169" t="s">
        <v>155</v>
      </c>
      <c r="G169">
        <v>4</v>
      </c>
      <c r="H169" t="s">
        <v>18</v>
      </c>
      <c r="I169" t="s">
        <v>29</v>
      </c>
      <c r="J169" t="s">
        <v>114</v>
      </c>
      <c r="K169" t="s">
        <v>44</v>
      </c>
      <c r="M169" t="s">
        <v>67</v>
      </c>
    </row>
    <row r="170" spans="1:13" x14ac:dyDescent="0.35">
      <c r="A170">
        <v>5387</v>
      </c>
      <c r="B170" t="s">
        <v>80</v>
      </c>
      <c r="C170" t="s">
        <v>366</v>
      </c>
      <c r="D170" t="s">
        <v>86</v>
      </c>
      <c r="E170" t="s">
        <v>26</v>
      </c>
      <c r="F170" t="s">
        <v>167</v>
      </c>
      <c r="G170">
        <v>2</v>
      </c>
      <c r="H170" t="s">
        <v>18</v>
      </c>
      <c r="J170" t="s">
        <v>60</v>
      </c>
      <c r="K170" t="s">
        <v>72</v>
      </c>
      <c r="M170" t="s">
        <v>39</v>
      </c>
    </row>
    <row r="171" spans="1:13" x14ac:dyDescent="0.35">
      <c r="A171">
        <v>5481</v>
      </c>
      <c r="B171" t="s">
        <v>55</v>
      </c>
      <c r="C171" t="s">
        <v>63</v>
      </c>
      <c r="D171" t="s">
        <v>51</v>
      </c>
      <c r="E171" t="s">
        <v>35</v>
      </c>
      <c r="F171" t="s">
        <v>58</v>
      </c>
      <c r="G171">
        <v>2</v>
      </c>
      <c r="H171" t="s">
        <v>367</v>
      </c>
      <c r="I171" t="s">
        <v>43</v>
      </c>
      <c r="J171" t="s">
        <v>110</v>
      </c>
      <c r="K171" t="s">
        <v>44</v>
      </c>
      <c r="M171" t="s">
        <v>73</v>
      </c>
    </row>
    <row r="172" spans="1:13" x14ac:dyDescent="0.35">
      <c r="A172">
        <v>5071</v>
      </c>
      <c r="B172" t="s">
        <v>126</v>
      </c>
      <c r="C172" t="s">
        <v>368</v>
      </c>
      <c r="D172" t="s">
        <v>76</v>
      </c>
      <c r="E172" t="s">
        <v>64</v>
      </c>
      <c r="F172" t="s">
        <v>116</v>
      </c>
      <c r="H172" t="s">
        <v>369</v>
      </c>
      <c r="I172" t="s">
        <v>29</v>
      </c>
      <c r="J172" t="s">
        <v>20</v>
      </c>
      <c r="K172" t="s">
        <v>21</v>
      </c>
      <c r="M172" t="s">
        <v>39</v>
      </c>
    </row>
    <row r="173" spans="1:13" x14ac:dyDescent="0.35">
      <c r="A173">
        <v>5329</v>
      </c>
      <c r="B173" t="s">
        <v>62</v>
      </c>
      <c r="C173" t="s">
        <v>236</v>
      </c>
      <c r="D173" t="s">
        <v>15</v>
      </c>
      <c r="E173" t="s">
        <v>64</v>
      </c>
      <c r="F173" t="s">
        <v>77</v>
      </c>
      <c r="H173" t="s">
        <v>370</v>
      </c>
      <c r="I173" t="s">
        <v>19</v>
      </c>
      <c r="J173" t="s">
        <v>47</v>
      </c>
      <c r="K173" t="s">
        <v>48</v>
      </c>
      <c r="M173" t="s">
        <v>73</v>
      </c>
    </row>
    <row r="174" spans="1:13" x14ac:dyDescent="0.35">
      <c r="A174">
        <v>5187</v>
      </c>
      <c r="B174" t="s">
        <v>13</v>
      </c>
      <c r="C174" t="s">
        <v>145</v>
      </c>
      <c r="D174" t="s">
        <v>108</v>
      </c>
      <c r="E174" t="s">
        <v>16</v>
      </c>
      <c r="F174" t="s">
        <v>42</v>
      </c>
      <c r="G174">
        <v>5</v>
      </c>
      <c r="H174" t="s">
        <v>371</v>
      </c>
      <c r="I174" t="s">
        <v>19</v>
      </c>
      <c r="J174" t="s">
        <v>110</v>
      </c>
      <c r="K174" t="s">
        <v>48</v>
      </c>
      <c r="M174" t="s">
        <v>79</v>
      </c>
    </row>
    <row r="175" spans="1:13" x14ac:dyDescent="0.35">
      <c r="A175">
        <v>5206</v>
      </c>
      <c r="B175" t="s">
        <v>100</v>
      </c>
      <c r="C175" t="s">
        <v>372</v>
      </c>
      <c r="D175" t="s">
        <v>15</v>
      </c>
      <c r="E175" t="s">
        <v>35</v>
      </c>
      <c r="F175" t="s">
        <v>99</v>
      </c>
      <c r="G175">
        <v>2</v>
      </c>
      <c r="H175" t="s">
        <v>373</v>
      </c>
      <c r="I175" t="s">
        <v>71</v>
      </c>
      <c r="J175" t="s">
        <v>47</v>
      </c>
      <c r="K175" t="s">
        <v>61</v>
      </c>
    </row>
    <row r="176" spans="1:13" x14ac:dyDescent="0.35">
      <c r="A176">
        <v>5113</v>
      </c>
      <c r="B176" t="s">
        <v>126</v>
      </c>
      <c r="C176" t="s">
        <v>374</v>
      </c>
      <c r="D176" t="s">
        <v>25</v>
      </c>
      <c r="E176" t="s">
        <v>64</v>
      </c>
      <c r="F176" t="s">
        <v>133</v>
      </c>
      <c r="G176">
        <v>5</v>
      </c>
      <c r="H176" t="s">
        <v>375</v>
      </c>
      <c r="I176" t="s">
        <v>43</v>
      </c>
      <c r="J176" t="s">
        <v>110</v>
      </c>
      <c r="K176" t="s">
        <v>48</v>
      </c>
      <c r="M176" t="s">
        <v>73</v>
      </c>
    </row>
    <row r="177" spans="1:13" x14ac:dyDescent="0.35">
      <c r="A177">
        <v>5204</v>
      </c>
      <c r="B177" t="s">
        <v>210</v>
      </c>
      <c r="C177" t="s">
        <v>376</v>
      </c>
      <c r="D177" t="s">
        <v>34</v>
      </c>
      <c r="E177" t="s">
        <v>16</v>
      </c>
      <c r="F177" t="s">
        <v>82</v>
      </c>
      <c r="G177">
        <v>5</v>
      </c>
      <c r="H177" t="s">
        <v>377</v>
      </c>
      <c r="I177" t="s">
        <v>29</v>
      </c>
      <c r="J177" t="s">
        <v>110</v>
      </c>
      <c r="K177" t="s">
        <v>61</v>
      </c>
      <c r="M177" t="s">
        <v>79</v>
      </c>
    </row>
    <row r="178" spans="1:13" x14ac:dyDescent="0.35">
      <c r="A178">
        <v>5475</v>
      </c>
      <c r="B178" t="s">
        <v>88</v>
      </c>
      <c r="C178" t="s">
        <v>378</v>
      </c>
      <c r="D178" t="s">
        <v>76</v>
      </c>
      <c r="E178" t="s">
        <v>35</v>
      </c>
      <c r="F178" t="s">
        <v>155</v>
      </c>
      <c r="G178">
        <v>5</v>
      </c>
      <c r="H178" t="s">
        <v>18</v>
      </c>
      <c r="I178" t="s">
        <v>43</v>
      </c>
      <c r="J178" t="s">
        <v>47</v>
      </c>
      <c r="K178" t="s">
        <v>61</v>
      </c>
      <c r="M178" t="s">
        <v>79</v>
      </c>
    </row>
    <row r="179" spans="1:13" x14ac:dyDescent="0.35">
      <c r="A179">
        <v>5406</v>
      </c>
      <c r="B179" t="s">
        <v>55</v>
      </c>
      <c r="C179" t="s">
        <v>379</v>
      </c>
      <c r="D179" t="s">
        <v>34</v>
      </c>
      <c r="E179" t="s">
        <v>26</v>
      </c>
      <c r="F179" t="s">
        <v>167</v>
      </c>
      <c r="H179" t="s">
        <v>18</v>
      </c>
      <c r="I179" t="s">
        <v>54</v>
      </c>
      <c r="J179" t="s">
        <v>20</v>
      </c>
      <c r="K179" t="s">
        <v>84</v>
      </c>
      <c r="M179" t="s">
        <v>22</v>
      </c>
    </row>
    <row r="180" spans="1:13" x14ac:dyDescent="0.35">
      <c r="A180">
        <v>5198</v>
      </c>
      <c r="B180" t="s">
        <v>68</v>
      </c>
      <c r="C180" t="s">
        <v>380</v>
      </c>
      <c r="D180" t="s">
        <v>51</v>
      </c>
      <c r="E180" t="s">
        <v>26</v>
      </c>
      <c r="F180" t="s">
        <v>27</v>
      </c>
      <c r="G180">
        <v>2</v>
      </c>
      <c r="H180" t="s">
        <v>381</v>
      </c>
      <c r="I180" t="s">
        <v>18</v>
      </c>
      <c r="J180" t="s">
        <v>110</v>
      </c>
      <c r="K180" t="s">
        <v>61</v>
      </c>
      <c r="M180" t="s">
        <v>67</v>
      </c>
    </row>
    <row r="181" spans="1:13" x14ac:dyDescent="0.35">
      <c r="A181">
        <v>5486</v>
      </c>
      <c r="B181" t="s">
        <v>80</v>
      </c>
      <c r="C181" t="s">
        <v>252</v>
      </c>
      <c r="D181" t="s">
        <v>57</v>
      </c>
      <c r="E181" t="s">
        <v>26</v>
      </c>
      <c r="F181" t="s">
        <v>112</v>
      </c>
      <c r="G181">
        <v>1</v>
      </c>
      <c r="H181" t="s">
        <v>382</v>
      </c>
      <c r="I181" t="s">
        <v>54</v>
      </c>
      <c r="J181" t="s">
        <v>60</v>
      </c>
      <c r="K181" t="s">
        <v>61</v>
      </c>
      <c r="M181" t="s">
        <v>22</v>
      </c>
    </row>
    <row r="182" spans="1:13" x14ac:dyDescent="0.35">
      <c r="A182">
        <v>5100</v>
      </c>
      <c r="B182" t="s">
        <v>88</v>
      </c>
      <c r="C182" t="s">
        <v>383</v>
      </c>
      <c r="D182" t="s">
        <v>15</v>
      </c>
      <c r="E182" t="s">
        <v>16</v>
      </c>
      <c r="F182" t="s">
        <v>82</v>
      </c>
      <c r="G182">
        <v>2</v>
      </c>
      <c r="H182" t="s">
        <v>384</v>
      </c>
      <c r="I182" t="s">
        <v>19</v>
      </c>
      <c r="J182" t="s">
        <v>30</v>
      </c>
      <c r="K182" t="s">
        <v>72</v>
      </c>
      <c r="M182" t="s">
        <v>67</v>
      </c>
    </row>
    <row r="183" spans="1:13" x14ac:dyDescent="0.35">
      <c r="A183">
        <v>5092</v>
      </c>
      <c r="B183" t="s">
        <v>100</v>
      </c>
      <c r="C183" t="s">
        <v>385</v>
      </c>
      <c r="D183" t="s">
        <v>98</v>
      </c>
      <c r="E183" t="s">
        <v>64</v>
      </c>
      <c r="F183" t="s">
        <v>77</v>
      </c>
      <c r="G183">
        <v>4</v>
      </c>
      <c r="H183" t="s">
        <v>18</v>
      </c>
      <c r="I183" t="s">
        <v>18</v>
      </c>
      <c r="J183" t="s">
        <v>30</v>
      </c>
      <c r="K183" t="s">
        <v>21</v>
      </c>
      <c r="M183" t="s">
        <v>31</v>
      </c>
    </row>
    <row r="184" spans="1:13" x14ac:dyDescent="0.35">
      <c r="A184">
        <v>5427</v>
      </c>
      <c r="B184" t="s">
        <v>80</v>
      </c>
      <c r="C184" t="s">
        <v>386</v>
      </c>
      <c r="D184" t="s">
        <v>57</v>
      </c>
      <c r="E184" t="s">
        <v>64</v>
      </c>
      <c r="F184" t="s">
        <v>116</v>
      </c>
      <c r="G184">
        <v>2</v>
      </c>
      <c r="H184" t="s">
        <v>387</v>
      </c>
      <c r="I184" t="s">
        <v>54</v>
      </c>
      <c r="J184" t="s">
        <v>153</v>
      </c>
      <c r="K184" t="s">
        <v>38</v>
      </c>
      <c r="M184" t="s">
        <v>67</v>
      </c>
    </row>
    <row r="185" spans="1:13" x14ac:dyDescent="0.35">
      <c r="A185">
        <v>5237</v>
      </c>
      <c r="B185" t="s">
        <v>129</v>
      </c>
      <c r="C185" t="s">
        <v>388</v>
      </c>
      <c r="D185" t="s">
        <v>15</v>
      </c>
      <c r="E185" t="s">
        <v>35</v>
      </c>
      <c r="F185" t="s">
        <v>58</v>
      </c>
      <c r="G185">
        <v>1</v>
      </c>
      <c r="H185" t="s">
        <v>389</v>
      </c>
      <c r="I185" t="s">
        <v>29</v>
      </c>
      <c r="J185" t="s">
        <v>114</v>
      </c>
      <c r="K185" t="s">
        <v>38</v>
      </c>
      <c r="M185" t="s">
        <v>31</v>
      </c>
    </row>
    <row r="186" spans="1:13" x14ac:dyDescent="0.35">
      <c r="A186">
        <v>5234</v>
      </c>
      <c r="B186" t="s">
        <v>151</v>
      </c>
      <c r="C186" t="s">
        <v>390</v>
      </c>
      <c r="D186" t="s">
        <v>15</v>
      </c>
      <c r="E186" t="s">
        <v>64</v>
      </c>
      <c r="F186" t="s">
        <v>77</v>
      </c>
      <c r="H186" t="s">
        <v>18</v>
      </c>
      <c r="I186" t="s">
        <v>19</v>
      </c>
      <c r="J186" t="s">
        <v>20</v>
      </c>
      <c r="K186" t="s">
        <v>38</v>
      </c>
    </row>
    <row r="187" spans="1:13" x14ac:dyDescent="0.35">
      <c r="A187">
        <v>5324</v>
      </c>
      <c r="B187" t="s">
        <v>74</v>
      </c>
      <c r="C187" t="s">
        <v>391</v>
      </c>
      <c r="D187" t="s">
        <v>57</v>
      </c>
      <c r="E187" t="s">
        <v>35</v>
      </c>
      <c r="F187" t="s">
        <v>36</v>
      </c>
      <c r="G187">
        <v>1</v>
      </c>
      <c r="H187" t="s">
        <v>18</v>
      </c>
      <c r="I187" t="s">
        <v>71</v>
      </c>
      <c r="J187" t="s">
        <v>20</v>
      </c>
      <c r="K187" t="s">
        <v>44</v>
      </c>
      <c r="M187" t="s">
        <v>22</v>
      </c>
    </row>
    <row r="188" spans="1:13" x14ac:dyDescent="0.35">
      <c r="A188">
        <v>5119</v>
      </c>
      <c r="B188" t="s">
        <v>129</v>
      </c>
      <c r="C188" t="s">
        <v>392</v>
      </c>
      <c r="D188" t="s">
        <v>15</v>
      </c>
      <c r="E188" t="s">
        <v>64</v>
      </c>
      <c r="F188" t="s">
        <v>77</v>
      </c>
      <c r="G188">
        <v>4</v>
      </c>
      <c r="H188" t="s">
        <v>393</v>
      </c>
      <c r="I188" t="s">
        <v>29</v>
      </c>
      <c r="J188" t="s">
        <v>20</v>
      </c>
      <c r="K188" t="s">
        <v>84</v>
      </c>
      <c r="M188" t="s">
        <v>67</v>
      </c>
    </row>
    <row r="189" spans="1:13" x14ac:dyDescent="0.35">
      <c r="A189">
        <v>5256</v>
      </c>
      <c r="B189" t="s">
        <v>129</v>
      </c>
      <c r="C189" t="s">
        <v>394</v>
      </c>
      <c r="D189" t="s">
        <v>25</v>
      </c>
      <c r="E189" t="s">
        <v>16</v>
      </c>
      <c r="F189" t="s">
        <v>109</v>
      </c>
      <c r="G189">
        <v>5</v>
      </c>
      <c r="H189" t="s">
        <v>395</v>
      </c>
      <c r="I189" t="s">
        <v>18</v>
      </c>
      <c r="J189" t="s">
        <v>60</v>
      </c>
      <c r="K189" t="s">
        <v>38</v>
      </c>
      <c r="M189" t="s">
        <v>39</v>
      </c>
    </row>
    <row r="190" spans="1:13" x14ac:dyDescent="0.35">
      <c r="A190">
        <v>5014</v>
      </c>
      <c r="B190" t="s">
        <v>120</v>
      </c>
      <c r="C190" t="s">
        <v>396</v>
      </c>
      <c r="D190" t="s">
        <v>76</v>
      </c>
      <c r="E190" t="s">
        <v>26</v>
      </c>
      <c r="F190" t="s">
        <v>46</v>
      </c>
      <c r="G190">
        <v>1</v>
      </c>
      <c r="H190" t="s">
        <v>18</v>
      </c>
      <c r="J190" t="s">
        <v>47</v>
      </c>
      <c r="K190" t="s">
        <v>84</v>
      </c>
      <c r="M190" t="s">
        <v>73</v>
      </c>
    </row>
    <row r="191" spans="1:13" x14ac:dyDescent="0.35">
      <c r="A191">
        <v>5222</v>
      </c>
      <c r="B191" t="s">
        <v>151</v>
      </c>
      <c r="C191" t="s">
        <v>397</v>
      </c>
      <c r="D191" t="s">
        <v>25</v>
      </c>
      <c r="E191" t="s">
        <v>64</v>
      </c>
      <c r="F191" t="s">
        <v>77</v>
      </c>
      <c r="G191">
        <v>5</v>
      </c>
      <c r="H191" t="s">
        <v>398</v>
      </c>
      <c r="I191" t="s">
        <v>54</v>
      </c>
      <c r="J191" t="s">
        <v>114</v>
      </c>
      <c r="K191" t="s">
        <v>84</v>
      </c>
      <c r="M191" t="s">
        <v>31</v>
      </c>
    </row>
    <row r="192" spans="1:13" x14ac:dyDescent="0.35">
      <c r="A192">
        <v>5426</v>
      </c>
      <c r="B192" t="s">
        <v>88</v>
      </c>
      <c r="C192" t="s">
        <v>399</v>
      </c>
      <c r="D192" t="s">
        <v>57</v>
      </c>
      <c r="E192" t="s">
        <v>35</v>
      </c>
      <c r="F192" t="s">
        <v>155</v>
      </c>
      <c r="G192">
        <v>1</v>
      </c>
      <c r="H192" t="s">
        <v>400</v>
      </c>
      <c r="I192" t="s">
        <v>18</v>
      </c>
      <c r="J192" t="s">
        <v>153</v>
      </c>
      <c r="K192" t="s">
        <v>38</v>
      </c>
      <c r="M192" t="s">
        <v>31</v>
      </c>
    </row>
    <row r="193" spans="1:13" x14ac:dyDescent="0.35">
      <c r="A193">
        <v>5468</v>
      </c>
      <c r="B193" t="s">
        <v>74</v>
      </c>
      <c r="C193" t="s">
        <v>401</v>
      </c>
      <c r="D193" t="s">
        <v>86</v>
      </c>
      <c r="E193" t="s">
        <v>16</v>
      </c>
      <c r="F193" t="s">
        <v>82</v>
      </c>
      <c r="G193">
        <v>2</v>
      </c>
      <c r="H193" t="s">
        <v>18</v>
      </c>
      <c r="I193" t="s">
        <v>19</v>
      </c>
      <c r="J193" t="s">
        <v>47</v>
      </c>
      <c r="K193" t="s">
        <v>61</v>
      </c>
      <c r="M193" t="s">
        <v>67</v>
      </c>
    </row>
    <row r="194" spans="1:13" x14ac:dyDescent="0.35">
      <c r="A194">
        <v>5461</v>
      </c>
      <c r="B194" t="s">
        <v>13</v>
      </c>
      <c r="C194" t="s">
        <v>402</v>
      </c>
      <c r="D194" t="s">
        <v>15</v>
      </c>
      <c r="E194" t="s">
        <v>26</v>
      </c>
      <c r="F194" t="s">
        <v>46</v>
      </c>
      <c r="G194">
        <v>5</v>
      </c>
      <c r="H194" t="s">
        <v>403</v>
      </c>
      <c r="J194" t="s">
        <v>20</v>
      </c>
      <c r="K194" t="s">
        <v>48</v>
      </c>
      <c r="M194" t="s">
        <v>31</v>
      </c>
    </row>
    <row r="195" spans="1:13" x14ac:dyDescent="0.35">
      <c r="A195">
        <v>5052</v>
      </c>
      <c r="B195" t="s">
        <v>129</v>
      </c>
      <c r="C195" t="s">
        <v>404</v>
      </c>
      <c r="D195" t="s">
        <v>86</v>
      </c>
      <c r="E195" t="s">
        <v>26</v>
      </c>
      <c r="F195" t="s">
        <v>167</v>
      </c>
      <c r="G195">
        <v>4</v>
      </c>
      <c r="H195" t="s">
        <v>405</v>
      </c>
      <c r="I195" t="s">
        <v>54</v>
      </c>
      <c r="J195" t="s">
        <v>30</v>
      </c>
      <c r="K195" t="s">
        <v>48</v>
      </c>
      <c r="M195" t="s">
        <v>79</v>
      </c>
    </row>
    <row r="196" spans="1:13" x14ac:dyDescent="0.35">
      <c r="A196">
        <v>5191</v>
      </c>
      <c r="B196" t="s">
        <v>32</v>
      </c>
      <c r="C196" t="s">
        <v>236</v>
      </c>
      <c r="D196" t="s">
        <v>15</v>
      </c>
      <c r="E196" t="s">
        <v>26</v>
      </c>
      <c r="F196" t="s">
        <v>46</v>
      </c>
      <c r="G196">
        <v>4</v>
      </c>
      <c r="H196" t="s">
        <v>406</v>
      </c>
      <c r="I196" t="s">
        <v>43</v>
      </c>
      <c r="J196" t="s">
        <v>114</v>
      </c>
      <c r="K196" t="s">
        <v>72</v>
      </c>
      <c r="M196" t="s">
        <v>73</v>
      </c>
    </row>
    <row r="197" spans="1:13" x14ac:dyDescent="0.35">
      <c r="A197">
        <v>5407</v>
      </c>
      <c r="B197" t="s">
        <v>74</v>
      </c>
      <c r="C197" t="s">
        <v>407</v>
      </c>
      <c r="D197" t="s">
        <v>51</v>
      </c>
      <c r="E197" t="s">
        <v>64</v>
      </c>
      <c r="F197" t="s">
        <v>77</v>
      </c>
      <c r="G197">
        <v>3</v>
      </c>
      <c r="H197" t="s">
        <v>408</v>
      </c>
      <c r="J197" t="s">
        <v>78</v>
      </c>
      <c r="K197" t="s">
        <v>48</v>
      </c>
      <c r="M197" t="s">
        <v>31</v>
      </c>
    </row>
    <row r="198" spans="1:13" x14ac:dyDescent="0.35">
      <c r="A198">
        <v>5246</v>
      </c>
      <c r="B198" t="s">
        <v>80</v>
      </c>
      <c r="C198" t="s">
        <v>409</v>
      </c>
      <c r="D198" t="s">
        <v>86</v>
      </c>
      <c r="E198" t="s">
        <v>35</v>
      </c>
      <c r="F198" t="s">
        <v>136</v>
      </c>
      <c r="G198">
        <v>2</v>
      </c>
      <c r="H198" t="s">
        <v>410</v>
      </c>
      <c r="I198" t="s">
        <v>54</v>
      </c>
      <c r="J198" t="s">
        <v>153</v>
      </c>
      <c r="K198" t="s">
        <v>38</v>
      </c>
    </row>
    <row r="199" spans="1:13" x14ac:dyDescent="0.35">
      <c r="A199">
        <v>5018</v>
      </c>
      <c r="B199" t="s">
        <v>74</v>
      </c>
      <c r="C199" t="s">
        <v>411</v>
      </c>
      <c r="D199" t="s">
        <v>51</v>
      </c>
      <c r="E199" t="s">
        <v>35</v>
      </c>
      <c r="F199" t="s">
        <v>58</v>
      </c>
      <c r="H199" t="s">
        <v>18</v>
      </c>
      <c r="I199" t="s">
        <v>29</v>
      </c>
      <c r="J199" t="s">
        <v>110</v>
      </c>
      <c r="K199" t="s">
        <v>48</v>
      </c>
      <c r="M199" t="s">
        <v>31</v>
      </c>
    </row>
    <row r="200" spans="1:13" x14ac:dyDescent="0.35">
      <c r="A200">
        <v>5087</v>
      </c>
      <c r="B200" t="s">
        <v>117</v>
      </c>
      <c r="C200" t="s">
        <v>412</v>
      </c>
      <c r="D200" t="s">
        <v>51</v>
      </c>
      <c r="E200" t="s">
        <v>35</v>
      </c>
      <c r="F200" t="s">
        <v>36</v>
      </c>
      <c r="G200">
        <v>3</v>
      </c>
      <c r="H200" t="s">
        <v>413</v>
      </c>
      <c r="I200" t="s">
        <v>19</v>
      </c>
      <c r="J200" t="s">
        <v>30</v>
      </c>
      <c r="K200" t="s">
        <v>44</v>
      </c>
      <c r="M200" t="s">
        <v>67</v>
      </c>
    </row>
    <row r="201" spans="1:13" x14ac:dyDescent="0.35">
      <c r="A201">
        <v>5435</v>
      </c>
      <c r="B201" t="s">
        <v>55</v>
      </c>
      <c r="C201" t="s">
        <v>414</v>
      </c>
      <c r="D201" t="s">
        <v>86</v>
      </c>
      <c r="E201" t="s">
        <v>35</v>
      </c>
      <c r="F201" t="s">
        <v>36</v>
      </c>
      <c r="G201">
        <v>5</v>
      </c>
      <c r="H201" t="s">
        <v>18</v>
      </c>
      <c r="I201" t="s">
        <v>54</v>
      </c>
      <c r="J201" t="s">
        <v>20</v>
      </c>
      <c r="K201" t="s">
        <v>84</v>
      </c>
      <c r="M201" t="s">
        <v>67</v>
      </c>
    </row>
    <row r="202" spans="1:13" x14ac:dyDescent="0.35">
      <c r="A202">
        <v>5483</v>
      </c>
      <c r="B202" t="s">
        <v>96</v>
      </c>
      <c r="C202" t="s">
        <v>415</v>
      </c>
      <c r="D202" t="s">
        <v>51</v>
      </c>
      <c r="E202" t="s">
        <v>16</v>
      </c>
      <c r="F202" t="s">
        <v>42</v>
      </c>
      <c r="G202">
        <v>2</v>
      </c>
      <c r="H202" t="s">
        <v>416</v>
      </c>
      <c r="I202" t="s">
        <v>43</v>
      </c>
      <c r="J202" t="s">
        <v>78</v>
      </c>
      <c r="K202" t="s">
        <v>44</v>
      </c>
      <c r="M202" t="s">
        <v>67</v>
      </c>
    </row>
    <row r="203" spans="1:13" x14ac:dyDescent="0.35">
      <c r="A203">
        <v>5172</v>
      </c>
      <c r="B203" t="s">
        <v>23</v>
      </c>
      <c r="C203" t="s">
        <v>417</v>
      </c>
      <c r="D203" t="s">
        <v>57</v>
      </c>
      <c r="E203" t="s">
        <v>35</v>
      </c>
      <c r="F203" t="s">
        <v>58</v>
      </c>
      <c r="G203">
        <v>1</v>
      </c>
      <c r="H203" t="s">
        <v>418</v>
      </c>
      <c r="I203" t="s">
        <v>43</v>
      </c>
      <c r="J203" t="s">
        <v>47</v>
      </c>
      <c r="K203" t="s">
        <v>38</v>
      </c>
      <c r="M203" t="s">
        <v>79</v>
      </c>
    </row>
    <row r="204" spans="1:13" x14ac:dyDescent="0.35">
      <c r="A204">
        <v>5301</v>
      </c>
      <c r="B204" t="s">
        <v>74</v>
      </c>
      <c r="C204" t="s">
        <v>419</v>
      </c>
      <c r="D204" t="s">
        <v>76</v>
      </c>
      <c r="E204" t="s">
        <v>35</v>
      </c>
      <c r="F204" t="s">
        <v>99</v>
      </c>
      <c r="G204">
        <v>3</v>
      </c>
      <c r="H204" t="s">
        <v>420</v>
      </c>
      <c r="I204" t="s">
        <v>29</v>
      </c>
      <c r="J204" t="s">
        <v>78</v>
      </c>
      <c r="K204" t="s">
        <v>61</v>
      </c>
      <c r="M204" t="s">
        <v>79</v>
      </c>
    </row>
    <row r="205" spans="1:13" x14ac:dyDescent="0.35">
      <c r="A205">
        <v>5162</v>
      </c>
      <c r="B205" t="s">
        <v>102</v>
      </c>
      <c r="C205" t="s">
        <v>421</v>
      </c>
      <c r="D205" t="s">
        <v>86</v>
      </c>
      <c r="E205" t="s">
        <v>16</v>
      </c>
      <c r="F205" t="s">
        <v>170</v>
      </c>
      <c r="G205">
        <v>3</v>
      </c>
      <c r="H205" t="s">
        <v>18</v>
      </c>
      <c r="I205" t="s">
        <v>71</v>
      </c>
      <c r="J205" t="s">
        <v>153</v>
      </c>
      <c r="K205" t="s">
        <v>61</v>
      </c>
      <c r="M205" t="s">
        <v>22</v>
      </c>
    </row>
    <row r="206" spans="1:13" x14ac:dyDescent="0.35">
      <c r="A206">
        <v>5120</v>
      </c>
      <c r="B206" t="s">
        <v>32</v>
      </c>
      <c r="C206" t="s">
        <v>422</v>
      </c>
      <c r="D206" t="s">
        <v>15</v>
      </c>
      <c r="E206" t="s">
        <v>35</v>
      </c>
      <c r="F206" t="s">
        <v>99</v>
      </c>
      <c r="G206">
        <v>4</v>
      </c>
      <c r="H206" t="s">
        <v>18</v>
      </c>
      <c r="I206" t="s">
        <v>19</v>
      </c>
      <c r="J206" t="s">
        <v>87</v>
      </c>
      <c r="K206" t="s">
        <v>72</v>
      </c>
      <c r="M206" t="s">
        <v>73</v>
      </c>
    </row>
    <row r="207" spans="1:13" x14ac:dyDescent="0.35">
      <c r="A207">
        <v>5141</v>
      </c>
      <c r="B207" t="s">
        <v>306</v>
      </c>
      <c r="C207" t="s">
        <v>423</v>
      </c>
      <c r="D207" t="s">
        <v>108</v>
      </c>
      <c r="E207" t="s">
        <v>64</v>
      </c>
      <c r="F207" t="s">
        <v>116</v>
      </c>
      <c r="G207">
        <v>5</v>
      </c>
      <c r="H207" t="s">
        <v>18</v>
      </c>
      <c r="I207" t="s">
        <v>43</v>
      </c>
      <c r="J207" t="s">
        <v>78</v>
      </c>
      <c r="K207" t="s">
        <v>61</v>
      </c>
      <c r="M207" t="s">
        <v>39</v>
      </c>
    </row>
    <row r="208" spans="1:13" x14ac:dyDescent="0.35">
      <c r="A208">
        <v>5233</v>
      </c>
      <c r="B208" t="s">
        <v>100</v>
      </c>
      <c r="C208" t="s">
        <v>424</v>
      </c>
      <c r="D208" t="s">
        <v>34</v>
      </c>
      <c r="E208" t="s">
        <v>64</v>
      </c>
      <c r="F208" t="s">
        <v>133</v>
      </c>
      <c r="H208" t="s">
        <v>18</v>
      </c>
      <c r="I208" t="s">
        <v>54</v>
      </c>
      <c r="J208" t="s">
        <v>114</v>
      </c>
      <c r="K208" t="s">
        <v>21</v>
      </c>
      <c r="M208" t="s">
        <v>22</v>
      </c>
    </row>
    <row r="209" spans="1:13" x14ac:dyDescent="0.35">
      <c r="A209">
        <v>5270</v>
      </c>
      <c r="B209" t="s">
        <v>126</v>
      </c>
      <c r="C209" t="s">
        <v>425</v>
      </c>
      <c r="D209" t="s">
        <v>25</v>
      </c>
      <c r="E209" t="s">
        <v>16</v>
      </c>
      <c r="F209" t="s">
        <v>17</v>
      </c>
      <c r="G209">
        <v>4</v>
      </c>
      <c r="H209" t="s">
        <v>18</v>
      </c>
      <c r="I209" t="s">
        <v>54</v>
      </c>
      <c r="J209" t="s">
        <v>47</v>
      </c>
      <c r="K209" t="s">
        <v>84</v>
      </c>
      <c r="M209" t="s">
        <v>22</v>
      </c>
    </row>
    <row r="210" spans="1:13" x14ac:dyDescent="0.35">
      <c r="A210">
        <v>5091</v>
      </c>
      <c r="B210" t="s">
        <v>120</v>
      </c>
      <c r="C210" t="s">
        <v>426</v>
      </c>
      <c r="D210" t="s">
        <v>57</v>
      </c>
      <c r="E210" t="s">
        <v>26</v>
      </c>
      <c r="F210" t="s">
        <v>167</v>
      </c>
      <c r="H210" t="s">
        <v>427</v>
      </c>
      <c r="I210" t="s">
        <v>18</v>
      </c>
      <c r="J210" t="s">
        <v>87</v>
      </c>
      <c r="K210" t="s">
        <v>38</v>
      </c>
    </row>
    <row r="211" spans="1:13" x14ac:dyDescent="0.35">
      <c r="A211">
        <v>5356</v>
      </c>
      <c r="B211" t="s">
        <v>120</v>
      </c>
      <c r="C211" t="s">
        <v>428</v>
      </c>
      <c r="D211" t="s">
        <v>25</v>
      </c>
      <c r="E211" t="s">
        <v>64</v>
      </c>
      <c r="F211" t="s">
        <v>65</v>
      </c>
      <c r="G211">
        <v>3</v>
      </c>
      <c r="H211" t="s">
        <v>18</v>
      </c>
      <c r="I211" t="s">
        <v>29</v>
      </c>
      <c r="J211" t="s">
        <v>47</v>
      </c>
      <c r="K211" t="s">
        <v>21</v>
      </c>
      <c r="M211" t="s">
        <v>31</v>
      </c>
    </row>
    <row r="212" spans="1:13" x14ac:dyDescent="0.35">
      <c r="A212">
        <v>5203</v>
      </c>
      <c r="B212" t="s">
        <v>62</v>
      </c>
      <c r="C212" t="s">
        <v>429</v>
      </c>
      <c r="D212" t="s">
        <v>108</v>
      </c>
      <c r="E212" t="s">
        <v>16</v>
      </c>
      <c r="F212" t="s">
        <v>17</v>
      </c>
      <c r="H212" t="s">
        <v>430</v>
      </c>
      <c r="I212" t="s">
        <v>71</v>
      </c>
      <c r="J212" t="s">
        <v>153</v>
      </c>
      <c r="K212" t="s">
        <v>61</v>
      </c>
      <c r="M212" t="s">
        <v>22</v>
      </c>
    </row>
    <row r="213" spans="1:13" x14ac:dyDescent="0.35">
      <c r="A213">
        <v>5212</v>
      </c>
      <c r="B213" t="s">
        <v>102</v>
      </c>
      <c r="C213" t="s">
        <v>431</v>
      </c>
      <c r="D213" t="s">
        <v>76</v>
      </c>
      <c r="E213" t="s">
        <v>64</v>
      </c>
      <c r="F213" t="s">
        <v>133</v>
      </c>
      <c r="G213">
        <v>4</v>
      </c>
      <c r="H213" t="s">
        <v>432</v>
      </c>
      <c r="I213" t="s">
        <v>19</v>
      </c>
      <c r="J213" t="s">
        <v>47</v>
      </c>
      <c r="K213" t="s">
        <v>72</v>
      </c>
      <c r="M213" t="s">
        <v>22</v>
      </c>
    </row>
    <row r="214" spans="1:13" x14ac:dyDescent="0.35">
      <c r="A214">
        <v>5351</v>
      </c>
      <c r="B214" t="s">
        <v>210</v>
      </c>
      <c r="C214" t="s">
        <v>433</v>
      </c>
      <c r="D214" t="s">
        <v>15</v>
      </c>
      <c r="E214" t="s">
        <v>16</v>
      </c>
      <c r="F214" t="s">
        <v>82</v>
      </c>
      <c r="G214">
        <v>2</v>
      </c>
      <c r="H214" t="s">
        <v>18</v>
      </c>
      <c r="I214" t="s">
        <v>19</v>
      </c>
      <c r="J214" t="s">
        <v>20</v>
      </c>
      <c r="K214" t="s">
        <v>44</v>
      </c>
      <c r="M214" t="s">
        <v>39</v>
      </c>
    </row>
    <row r="215" spans="1:13" x14ac:dyDescent="0.35">
      <c r="A215">
        <v>5357</v>
      </c>
      <c r="B215" t="s">
        <v>32</v>
      </c>
      <c r="C215" t="s">
        <v>434</v>
      </c>
      <c r="D215" t="s">
        <v>108</v>
      </c>
      <c r="E215" t="s">
        <v>35</v>
      </c>
      <c r="F215" t="s">
        <v>36</v>
      </c>
      <c r="G215">
        <v>1</v>
      </c>
      <c r="H215" t="s">
        <v>435</v>
      </c>
      <c r="I215" t="s">
        <v>29</v>
      </c>
      <c r="J215" t="s">
        <v>60</v>
      </c>
      <c r="K215" t="s">
        <v>21</v>
      </c>
      <c r="M215" t="s">
        <v>39</v>
      </c>
    </row>
    <row r="216" spans="1:13" x14ac:dyDescent="0.35">
      <c r="A216">
        <v>5034</v>
      </c>
      <c r="B216" t="s">
        <v>102</v>
      </c>
      <c r="C216" t="s">
        <v>436</v>
      </c>
      <c r="D216" t="s">
        <v>86</v>
      </c>
      <c r="E216" t="s">
        <v>16</v>
      </c>
      <c r="F216" t="s">
        <v>82</v>
      </c>
      <c r="G216">
        <v>3</v>
      </c>
      <c r="H216" t="s">
        <v>437</v>
      </c>
      <c r="I216" t="s">
        <v>71</v>
      </c>
      <c r="J216" t="s">
        <v>78</v>
      </c>
      <c r="K216" t="s">
        <v>38</v>
      </c>
      <c r="M216" t="s">
        <v>22</v>
      </c>
    </row>
    <row r="217" spans="1:13" x14ac:dyDescent="0.35">
      <c r="A217">
        <v>5041</v>
      </c>
      <c r="B217" t="s">
        <v>96</v>
      </c>
      <c r="C217" t="s">
        <v>438</v>
      </c>
      <c r="D217" t="s">
        <v>57</v>
      </c>
      <c r="E217" t="s">
        <v>16</v>
      </c>
      <c r="F217" t="s">
        <v>109</v>
      </c>
      <c r="G217">
        <v>1</v>
      </c>
      <c r="H217" t="s">
        <v>18</v>
      </c>
      <c r="I217" t="s">
        <v>18</v>
      </c>
      <c r="J217" t="s">
        <v>47</v>
      </c>
      <c r="K217" t="s">
        <v>84</v>
      </c>
      <c r="M217" t="s">
        <v>79</v>
      </c>
    </row>
    <row r="218" spans="1:13" x14ac:dyDescent="0.35">
      <c r="A218">
        <v>5465</v>
      </c>
      <c r="B218" t="s">
        <v>126</v>
      </c>
      <c r="C218" t="s">
        <v>380</v>
      </c>
      <c r="D218" t="s">
        <v>108</v>
      </c>
      <c r="E218" t="s">
        <v>16</v>
      </c>
      <c r="F218" t="s">
        <v>170</v>
      </c>
      <c r="H218" t="s">
        <v>439</v>
      </c>
      <c r="I218" t="s">
        <v>18</v>
      </c>
      <c r="J218" t="s">
        <v>60</v>
      </c>
      <c r="K218" t="s">
        <v>84</v>
      </c>
      <c r="M218" t="s">
        <v>22</v>
      </c>
    </row>
    <row r="219" spans="1:13" x14ac:dyDescent="0.35">
      <c r="A219">
        <v>5135</v>
      </c>
      <c r="B219" t="s">
        <v>100</v>
      </c>
      <c r="C219" t="s">
        <v>440</v>
      </c>
      <c r="D219" t="s">
        <v>86</v>
      </c>
      <c r="E219" t="s">
        <v>26</v>
      </c>
      <c r="F219" t="s">
        <v>52</v>
      </c>
      <c r="G219">
        <v>3</v>
      </c>
      <c r="H219" t="s">
        <v>18</v>
      </c>
      <c r="I219" t="s">
        <v>43</v>
      </c>
      <c r="J219" t="s">
        <v>114</v>
      </c>
      <c r="K219" t="s">
        <v>38</v>
      </c>
      <c r="M219" t="s">
        <v>73</v>
      </c>
    </row>
    <row r="220" spans="1:13" x14ac:dyDescent="0.35">
      <c r="A220">
        <v>5342</v>
      </c>
      <c r="B220" t="s">
        <v>102</v>
      </c>
      <c r="C220" t="s">
        <v>441</v>
      </c>
      <c r="D220" t="s">
        <v>108</v>
      </c>
      <c r="E220" t="s">
        <v>35</v>
      </c>
      <c r="F220" t="s">
        <v>155</v>
      </c>
      <c r="G220">
        <v>5</v>
      </c>
      <c r="H220" t="s">
        <v>442</v>
      </c>
      <c r="I220" t="s">
        <v>29</v>
      </c>
      <c r="J220" t="s">
        <v>114</v>
      </c>
      <c r="K220" t="s">
        <v>21</v>
      </c>
      <c r="M220" t="s">
        <v>39</v>
      </c>
    </row>
    <row r="221" spans="1:13" x14ac:dyDescent="0.35">
      <c r="A221">
        <v>5144</v>
      </c>
      <c r="B221" t="s">
        <v>74</v>
      </c>
      <c r="C221" t="s">
        <v>443</v>
      </c>
      <c r="D221" t="s">
        <v>86</v>
      </c>
      <c r="E221" t="s">
        <v>26</v>
      </c>
      <c r="F221" t="s">
        <v>52</v>
      </c>
      <c r="G221">
        <v>5</v>
      </c>
      <c r="H221" t="s">
        <v>444</v>
      </c>
      <c r="I221" t="s">
        <v>29</v>
      </c>
      <c r="J221" t="s">
        <v>60</v>
      </c>
      <c r="K221" t="s">
        <v>38</v>
      </c>
    </row>
    <row r="222" spans="1:13" x14ac:dyDescent="0.35">
      <c r="A222">
        <v>5308</v>
      </c>
      <c r="B222" t="s">
        <v>88</v>
      </c>
      <c r="C222" t="s">
        <v>445</v>
      </c>
      <c r="D222" t="s">
        <v>57</v>
      </c>
      <c r="E222" t="s">
        <v>35</v>
      </c>
      <c r="F222" t="s">
        <v>36</v>
      </c>
      <c r="H222" t="s">
        <v>18</v>
      </c>
      <c r="J222" t="s">
        <v>47</v>
      </c>
      <c r="K222" t="s">
        <v>44</v>
      </c>
      <c r="M222" t="s">
        <v>73</v>
      </c>
    </row>
    <row r="223" spans="1:13" x14ac:dyDescent="0.35">
      <c r="A223">
        <v>5457</v>
      </c>
      <c r="B223" t="s">
        <v>74</v>
      </c>
      <c r="C223" t="s">
        <v>446</v>
      </c>
      <c r="D223" t="s">
        <v>108</v>
      </c>
      <c r="E223" t="s">
        <v>35</v>
      </c>
      <c r="F223" t="s">
        <v>58</v>
      </c>
      <c r="H223" t="s">
        <v>447</v>
      </c>
      <c r="I223" t="s">
        <v>71</v>
      </c>
      <c r="J223" t="s">
        <v>87</v>
      </c>
      <c r="K223" t="s">
        <v>61</v>
      </c>
      <c r="M223" t="s">
        <v>22</v>
      </c>
    </row>
    <row r="224" spans="1:13" x14ac:dyDescent="0.35">
      <c r="A224">
        <v>5272</v>
      </c>
      <c r="B224" t="s">
        <v>210</v>
      </c>
      <c r="C224" t="s">
        <v>448</v>
      </c>
      <c r="D224" t="s">
        <v>25</v>
      </c>
      <c r="E224" t="s">
        <v>26</v>
      </c>
      <c r="F224" t="s">
        <v>46</v>
      </c>
      <c r="G224">
        <v>4</v>
      </c>
      <c r="H224" t="s">
        <v>18</v>
      </c>
      <c r="I224" t="s">
        <v>29</v>
      </c>
      <c r="J224" t="s">
        <v>87</v>
      </c>
      <c r="K224" t="s">
        <v>38</v>
      </c>
      <c r="M224" t="s">
        <v>73</v>
      </c>
    </row>
    <row r="225" spans="1:13" x14ac:dyDescent="0.35">
      <c r="A225">
        <v>5163</v>
      </c>
      <c r="B225" t="s">
        <v>13</v>
      </c>
      <c r="C225" t="s">
        <v>449</v>
      </c>
      <c r="D225" t="s">
        <v>76</v>
      </c>
      <c r="E225" t="s">
        <v>26</v>
      </c>
      <c r="F225" t="s">
        <v>27</v>
      </c>
      <c r="H225" t="s">
        <v>450</v>
      </c>
      <c r="I225" t="s">
        <v>71</v>
      </c>
      <c r="J225" t="s">
        <v>78</v>
      </c>
      <c r="K225" t="s">
        <v>84</v>
      </c>
      <c r="M225" t="s">
        <v>22</v>
      </c>
    </row>
    <row r="226" spans="1:13" x14ac:dyDescent="0.35">
      <c r="A226">
        <v>5148</v>
      </c>
      <c r="B226" t="s">
        <v>32</v>
      </c>
      <c r="C226" t="s">
        <v>451</v>
      </c>
      <c r="D226" t="s">
        <v>51</v>
      </c>
      <c r="E226" t="s">
        <v>35</v>
      </c>
      <c r="F226" t="s">
        <v>36</v>
      </c>
      <c r="H226" t="s">
        <v>18</v>
      </c>
      <c r="I226" t="s">
        <v>18</v>
      </c>
      <c r="J226" t="s">
        <v>114</v>
      </c>
      <c r="K226" t="s">
        <v>84</v>
      </c>
      <c r="M226" t="s">
        <v>39</v>
      </c>
    </row>
    <row r="227" spans="1:13" x14ac:dyDescent="0.35">
      <c r="A227">
        <v>5050</v>
      </c>
      <c r="B227" t="s">
        <v>120</v>
      </c>
      <c r="C227" t="s">
        <v>452</v>
      </c>
      <c r="D227" t="s">
        <v>108</v>
      </c>
      <c r="E227" t="s">
        <v>16</v>
      </c>
      <c r="F227" t="s">
        <v>42</v>
      </c>
      <c r="G227">
        <v>4</v>
      </c>
      <c r="H227" t="s">
        <v>18</v>
      </c>
      <c r="I227" t="s">
        <v>54</v>
      </c>
      <c r="J227" t="s">
        <v>30</v>
      </c>
      <c r="K227" t="s">
        <v>38</v>
      </c>
      <c r="M227" t="s">
        <v>39</v>
      </c>
    </row>
    <row r="228" spans="1:13" x14ac:dyDescent="0.35">
      <c r="A228">
        <v>5424</v>
      </c>
      <c r="B228" t="s">
        <v>102</v>
      </c>
      <c r="C228" t="s">
        <v>412</v>
      </c>
      <c r="D228" t="s">
        <v>108</v>
      </c>
      <c r="E228" t="s">
        <v>35</v>
      </c>
      <c r="F228" t="s">
        <v>58</v>
      </c>
      <c r="G228">
        <v>1</v>
      </c>
      <c r="H228" t="s">
        <v>453</v>
      </c>
      <c r="I228" t="s">
        <v>18</v>
      </c>
      <c r="J228" t="s">
        <v>30</v>
      </c>
      <c r="K228" t="s">
        <v>61</v>
      </c>
      <c r="M228" t="s">
        <v>73</v>
      </c>
    </row>
    <row r="229" spans="1:13" x14ac:dyDescent="0.35">
      <c r="A229">
        <v>5122</v>
      </c>
      <c r="B229" t="s">
        <v>102</v>
      </c>
      <c r="C229" t="s">
        <v>454</v>
      </c>
      <c r="D229" t="s">
        <v>25</v>
      </c>
      <c r="E229" t="s">
        <v>64</v>
      </c>
      <c r="F229" t="s">
        <v>77</v>
      </c>
      <c r="G229">
        <v>1</v>
      </c>
      <c r="H229" t="s">
        <v>455</v>
      </c>
      <c r="I229" t="s">
        <v>18</v>
      </c>
      <c r="J229" t="s">
        <v>78</v>
      </c>
      <c r="K229" t="s">
        <v>72</v>
      </c>
      <c r="M229" t="s">
        <v>79</v>
      </c>
    </row>
    <row r="230" spans="1:13" x14ac:dyDescent="0.35">
      <c r="A230">
        <v>5129</v>
      </c>
      <c r="B230" t="s">
        <v>74</v>
      </c>
      <c r="C230" t="s">
        <v>366</v>
      </c>
      <c r="D230" t="s">
        <v>348</v>
      </c>
      <c r="E230" t="s">
        <v>35</v>
      </c>
      <c r="F230" t="s">
        <v>36</v>
      </c>
      <c r="H230" t="s">
        <v>456</v>
      </c>
      <c r="I230" t="s">
        <v>29</v>
      </c>
      <c r="J230" t="s">
        <v>78</v>
      </c>
      <c r="K230" t="s">
        <v>38</v>
      </c>
      <c r="M230" t="s">
        <v>79</v>
      </c>
    </row>
    <row r="231" spans="1:13" x14ac:dyDescent="0.35">
      <c r="A231">
        <v>5421</v>
      </c>
      <c r="B231" t="s">
        <v>210</v>
      </c>
      <c r="C231" t="s">
        <v>457</v>
      </c>
      <c r="D231" t="s">
        <v>108</v>
      </c>
      <c r="E231" t="s">
        <v>26</v>
      </c>
      <c r="F231" t="s">
        <v>46</v>
      </c>
      <c r="G231">
        <v>2</v>
      </c>
      <c r="H231" t="s">
        <v>458</v>
      </c>
      <c r="I231" t="s">
        <v>54</v>
      </c>
      <c r="J231" t="s">
        <v>47</v>
      </c>
      <c r="K231" t="s">
        <v>44</v>
      </c>
      <c r="M231" t="s">
        <v>39</v>
      </c>
    </row>
    <row r="232" spans="1:13" x14ac:dyDescent="0.35">
      <c r="A232">
        <v>5388</v>
      </c>
      <c r="B232" t="s">
        <v>32</v>
      </c>
      <c r="C232" t="s">
        <v>459</v>
      </c>
      <c r="D232" t="s">
        <v>108</v>
      </c>
      <c r="E232" t="s">
        <v>26</v>
      </c>
      <c r="F232" t="s">
        <v>112</v>
      </c>
      <c r="G232">
        <v>1</v>
      </c>
      <c r="H232" t="s">
        <v>460</v>
      </c>
      <c r="I232" t="s">
        <v>19</v>
      </c>
      <c r="J232" t="s">
        <v>20</v>
      </c>
      <c r="K232" t="s">
        <v>72</v>
      </c>
      <c r="M232" t="s">
        <v>39</v>
      </c>
    </row>
    <row r="233" spans="1:13" x14ac:dyDescent="0.35">
      <c r="A233">
        <v>5290</v>
      </c>
      <c r="B233" t="s">
        <v>40</v>
      </c>
      <c r="C233" t="s">
        <v>461</v>
      </c>
      <c r="D233" t="s">
        <v>51</v>
      </c>
      <c r="E233" t="s">
        <v>35</v>
      </c>
      <c r="F233" t="s">
        <v>36</v>
      </c>
      <c r="G233">
        <v>3</v>
      </c>
      <c r="H233" t="s">
        <v>18</v>
      </c>
      <c r="I233" t="s">
        <v>43</v>
      </c>
      <c r="J233" t="s">
        <v>87</v>
      </c>
      <c r="K233" t="s">
        <v>72</v>
      </c>
      <c r="M233" t="s">
        <v>67</v>
      </c>
    </row>
    <row r="234" spans="1:13" x14ac:dyDescent="0.35">
      <c r="A234">
        <v>5347</v>
      </c>
      <c r="B234" t="s">
        <v>93</v>
      </c>
      <c r="C234" t="s">
        <v>462</v>
      </c>
      <c r="D234" t="s">
        <v>34</v>
      </c>
      <c r="E234" t="s">
        <v>35</v>
      </c>
      <c r="F234" t="s">
        <v>36</v>
      </c>
      <c r="G234">
        <v>1</v>
      </c>
      <c r="H234" t="s">
        <v>463</v>
      </c>
      <c r="I234" t="s">
        <v>43</v>
      </c>
      <c r="J234" t="s">
        <v>30</v>
      </c>
      <c r="K234" t="s">
        <v>61</v>
      </c>
      <c r="M234" t="s">
        <v>73</v>
      </c>
    </row>
    <row r="235" spans="1:13" x14ac:dyDescent="0.35">
      <c r="A235">
        <v>5371</v>
      </c>
      <c r="B235" t="s">
        <v>88</v>
      </c>
      <c r="C235" t="s">
        <v>464</v>
      </c>
      <c r="D235" t="s">
        <v>25</v>
      </c>
      <c r="E235" t="s">
        <v>26</v>
      </c>
      <c r="F235" t="s">
        <v>27</v>
      </c>
      <c r="G235">
        <v>2</v>
      </c>
      <c r="H235" t="s">
        <v>18</v>
      </c>
      <c r="J235" t="s">
        <v>60</v>
      </c>
      <c r="K235" t="s">
        <v>84</v>
      </c>
      <c r="M235" t="s">
        <v>67</v>
      </c>
    </row>
    <row r="236" spans="1:13" x14ac:dyDescent="0.35">
      <c r="A236">
        <v>5127</v>
      </c>
      <c r="B236" t="s">
        <v>117</v>
      </c>
      <c r="C236" t="s">
        <v>465</v>
      </c>
      <c r="D236" t="s">
        <v>76</v>
      </c>
      <c r="E236" t="s">
        <v>64</v>
      </c>
      <c r="F236" t="s">
        <v>116</v>
      </c>
      <c r="G236">
        <v>5</v>
      </c>
      <c r="H236" t="s">
        <v>466</v>
      </c>
      <c r="J236" t="s">
        <v>87</v>
      </c>
      <c r="K236" t="s">
        <v>72</v>
      </c>
      <c r="M236" t="s">
        <v>67</v>
      </c>
    </row>
    <row r="237" spans="1:13" x14ac:dyDescent="0.35">
      <c r="A237">
        <v>5020</v>
      </c>
      <c r="B237" t="s">
        <v>68</v>
      </c>
      <c r="C237" t="s">
        <v>467</v>
      </c>
      <c r="D237" t="s">
        <v>86</v>
      </c>
      <c r="E237" t="s">
        <v>64</v>
      </c>
      <c r="F237" t="s">
        <v>116</v>
      </c>
      <c r="G237">
        <v>2</v>
      </c>
      <c r="H237" t="s">
        <v>468</v>
      </c>
      <c r="I237" t="s">
        <v>43</v>
      </c>
      <c r="J237" t="s">
        <v>78</v>
      </c>
      <c r="K237" t="s">
        <v>61</v>
      </c>
      <c r="M237" t="s">
        <v>39</v>
      </c>
    </row>
    <row r="238" spans="1:13" x14ac:dyDescent="0.35">
      <c r="A238">
        <v>5269</v>
      </c>
      <c r="B238" t="s">
        <v>120</v>
      </c>
      <c r="C238" t="s">
        <v>469</v>
      </c>
      <c r="D238" t="s">
        <v>76</v>
      </c>
      <c r="E238" t="s">
        <v>35</v>
      </c>
      <c r="F238" t="s">
        <v>58</v>
      </c>
      <c r="G238">
        <v>4</v>
      </c>
      <c r="H238" t="s">
        <v>18</v>
      </c>
      <c r="I238" t="s">
        <v>19</v>
      </c>
      <c r="J238" t="s">
        <v>20</v>
      </c>
      <c r="K238" t="s">
        <v>38</v>
      </c>
      <c r="M238" t="s">
        <v>39</v>
      </c>
    </row>
    <row r="239" spans="1:13" x14ac:dyDescent="0.35">
      <c r="A239">
        <v>5377</v>
      </c>
      <c r="B239" t="s">
        <v>151</v>
      </c>
      <c r="C239" t="s">
        <v>470</v>
      </c>
      <c r="D239" t="s">
        <v>86</v>
      </c>
      <c r="E239" t="s">
        <v>35</v>
      </c>
      <c r="F239" t="s">
        <v>99</v>
      </c>
      <c r="G239">
        <v>5</v>
      </c>
      <c r="H239" t="s">
        <v>471</v>
      </c>
      <c r="I239" t="s">
        <v>43</v>
      </c>
      <c r="J239" t="s">
        <v>153</v>
      </c>
      <c r="K239" t="s">
        <v>61</v>
      </c>
    </row>
    <row r="240" spans="1:13" x14ac:dyDescent="0.35">
      <c r="A240">
        <v>5263</v>
      </c>
      <c r="B240" t="s">
        <v>74</v>
      </c>
      <c r="C240" t="s">
        <v>472</v>
      </c>
      <c r="D240" t="s">
        <v>57</v>
      </c>
      <c r="E240" t="s">
        <v>16</v>
      </c>
      <c r="F240" t="s">
        <v>109</v>
      </c>
      <c r="G240">
        <v>1</v>
      </c>
      <c r="H240" t="s">
        <v>473</v>
      </c>
      <c r="I240" t="s">
        <v>54</v>
      </c>
      <c r="J240" t="s">
        <v>78</v>
      </c>
      <c r="K240" t="s">
        <v>48</v>
      </c>
      <c r="M240" t="s">
        <v>67</v>
      </c>
    </row>
    <row r="241" spans="1:13" x14ac:dyDescent="0.35">
      <c r="A241">
        <v>5166</v>
      </c>
      <c r="B241" t="s">
        <v>55</v>
      </c>
      <c r="C241" t="s">
        <v>321</v>
      </c>
      <c r="D241" t="s">
        <v>51</v>
      </c>
      <c r="E241" t="s">
        <v>64</v>
      </c>
      <c r="F241" t="s">
        <v>116</v>
      </c>
      <c r="G241">
        <v>1</v>
      </c>
      <c r="H241" t="s">
        <v>474</v>
      </c>
      <c r="I241" t="s">
        <v>43</v>
      </c>
      <c r="J241" t="s">
        <v>60</v>
      </c>
      <c r="K241" t="s">
        <v>38</v>
      </c>
      <c r="M241" t="s">
        <v>39</v>
      </c>
    </row>
    <row r="242" spans="1:13" x14ac:dyDescent="0.35">
      <c r="A242">
        <v>5143</v>
      </c>
      <c r="B242" t="s">
        <v>88</v>
      </c>
      <c r="C242" t="s">
        <v>475</v>
      </c>
      <c r="D242" t="s">
        <v>15</v>
      </c>
      <c r="E242" t="s">
        <v>16</v>
      </c>
      <c r="F242" t="s">
        <v>42</v>
      </c>
      <c r="G242">
        <v>1</v>
      </c>
      <c r="H242" t="s">
        <v>476</v>
      </c>
      <c r="J242" t="s">
        <v>110</v>
      </c>
      <c r="K242" t="s">
        <v>84</v>
      </c>
      <c r="M242" t="s">
        <v>67</v>
      </c>
    </row>
    <row r="243" spans="1:13" x14ac:dyDescent="0.35">
      <c r="A243">
        <v>5444</v>
      </c>
      <c r="B243" t="s">
        <v>88</v>
      </c>
      <c r="C243" t="s">
        <v>477</v>
      </c>
      <c r="D243" t="s">
        <v>15</v>
      </c>
      <c r="E243" t="s">
        <v>35</v>
      </c>
      <c r="F243" t="s">
        <v>99</v>
      </c>
      <c r="G243">
        <v>3</v>
      </c>
      <c r="H243" t="s">
        <v>478</v>
      </c>
      <c r="I243" t="s">
        <v>54</v>
      </c>
      <c r="J243" t="s">
        <v>30</v>
      </c>
      <c r="K243" t="s">
        <v>48</v>
      </c>
      <c r="M243" t="s">
        <v>73</v>
      </c>
    </row>
    <row r="244" spans="1:13" x14ac:dyDescent="0.35">
      <c r="A244">
        <v>5491</v>
      </c>
      <c r="B244" t="s">
        <v>102</v>
      </c>
      <c r="C244" t="s">
        <v>479</v>
      </c>
      <c r="D244" t="s">
        <v>51</v>
      </c>
      <c r="E244" t="s">
        <v>26</v>
      </c>
      <c r="F244" t="s">
        <v>52</v>
      </c>
      <c r="G244">
        <v>2</v>
      </c>
      <c r="H244" t="s">
        <v>480</v>
      </c>
      <c r="I244" t="s">
        <v>19</v>
      </c>
      <c r="J244" t="s">
        <v>114</v>
      </c>
      <c r="K244" t="s">
        <v>72</v>
      </c>
      <c r="M244" t="s">
        <v>39</v>
      </c>
    </row>
    <row r="245" spans="1:13" x14ac:dyDescent="0.35">
      <c r="A245">
        <v>5003</v>
      </c>
      <c r="B245" t="s">
        <v>32</v>
      </c>
      <c r="C245" t="s">
        <v>481</v>
      </c>
      <c r="D245" t="s">
        <v>86</v>
      </c>
      <c r="E245" t="s">
        <v>64</v>
      </c>
      <c r="F245" t="s">
        <v>133</v>
      </c>
      <c r="G245">
        <v>1</v>
      </c>
      <c r="H245" t="s">
        <v>18</v>
      </c>
      <c r="I245" t="s">
        <v>29</v>
      </c>
      <c r="J245" t="s">
        <v>110</v>
      </c>
      <c r="K245" t="s">
        <v>84</v>
      </c>
    </row>
    <row r="246" spans="1:13" x14ac:dyDescent="0.35">
      <c r="A246">
        <v>5153</v>
      </c>
      <c r="B246" t="s">
        <v>32</v>
      </c>
      <c r="C246" t="s">
        <v>279</v>
      </c>
      <c r="D246" t="s">
        <v>25</v>
      </c>
      <c r="E246" t="s">
        <v>16</v>
      </c>
      <c r="F246" t="s">
        <v>82</v>
      </c>
      <c r="H246" t="s">
        <v>280</v>
      </c>
      <c r="I246" t="s">
        <v>19</v>
      </c>
      <c r="J246" t="s">
        <v>20</v>
      </c>
      <c r="K246" t="s">
        <v>84</v>
      </c>
      <c r="M246" t="s">
        <v>67</v>
      </c>
    </row>
    <row r="247" spans="1:13" x14ac:dyDescent="0.35">
      <c r="A247">
        <v>5084</v>
      </c>
      <c r="B247" t="s">
        <v>102</v>
      </c>
      <c r="C247" t="s">
        <v>482</v>
      </c>
      <c r="D247" t="s">
        <v>86</v>
      </c>
      <c r="E247" t="s">
        <v>26</v>
      </c>
      <c r="F247" t="s">
        <v>52</v>
      </c>
      <c r="H247" t="s">
        <v>483</v>
      </c>
      <c r="I247" t="s">
        <v>29</v>
      </c>
      <c r="J247" t="s">
        <v>87</v>
      </c>
      <c r="K247" t="s">
        <v>61</v>
      </c>
      <c r="M247" t="s">
        <v>39</v>
      </c>
    </row>
    <row r="248" spans="1:13" x14ac:dyDescent="0.35">
      <c r="A248">
        <v>5140</v>
      </c>
      <c r="B248" t="s">
        <v>13</v>
      </c>
      <c r="C248" t="s">
        <v>484</v>
      </c>
      <c r="D248" t="s">
        <v>51</v>
      </c>
      <c r="E248" t="s">
        <v>26</v>
      </c>
      <c r="F248" t="s">
        <v>112</v>
      </c>
      <c r="G248">
        <v>2</v>
      </c>
      <c r="H248" t="s">
        <v>485</v>
      </c>
      <c r="J248" t="s">
        <v>47</v>
      </c>
      <c r="K248" t="s">
        <v>61</v>
      </c>
      <c r="M248" t="s">
        <v>73</v>
      </c>
    </row>
    <row r="249" spans="1:13" x14ac:dyDescent="0.35">
      <c r="A249">
        <v>5230</v>
      </c>
      <c r="B249" t="s">
        <v>88</v>
      </c>
      <c r="C249" t="s">
        <v>486</v>
      </c>
      <c r="D249" t="s">
        <v>108</v>
      </c>
      <c r="E249" t="s">
        <v>26</v>
      </c>
      <c r="F249" t="s">
        <v>27</v>
      </c>
      <c r="G249">
        <v>4</v>
      </c>
      <c r="H249" t="s">
        <v>487</v>
      </c>
      <c r="I249" t="s">
        <v>19</v>
      </c>
      <c r="J249" t="s">
        <v>60</v>
      </c>
      <c r="K249" t="s">
        <v>72</v>
      </c>
      <c r="M249" t="s">
        <v>22</v>
      </c>
    </row>
    <row r="250" spans="1:13" x14ac:dyDescent="0.35">
      <c r="A250">
        <v>5336</v>
      </c>
      <c r="B250" t="s">
        <v>74</v>
      </c>
      <c r="C250" t="s">
        <v>240</v>
      </c>
      <c r="D250" t="s">
        <v>51</v>
      </c>
      <c r="E250" t="s">
        <v>35</v>
      </c>
      <c r="F250" t="s">
        <v>155</v>
      </c>
      <c r="G250">
        <v>3</v>
      </c>
      <c r="H250" t="s">
        <v>488</v>
      </c>
      <c r="I250" t="s">
        <v>43</v>
      </c>
      <c r="J250" t="s">
        <v>114</v>
      </c>
      <c r="K250" t="s">
        <v>38</v>
      </c>
      <c r="M250" t="s">
        <v>31</v>
      </c>
    </row>
    <row r="251" spans="1:13" x14ac:dyDescent="0.35">
      <c r="A251">
        <v>5296</v>
      </c>
      <c r="B251" t="s">
        <v>32</v>
      </c>
      <c r="C251" t="s">
        <v>489</v>
      </c>
      <c r="D251" t="s">
        <v>108</v>
      </c>
      <c r="E251" t="s">
        <v>16</v>
      </c>
      <c r="F251" t="s">
        <v>82</v>
      </c>
      <c r="G251">
        <v>2</v>
      </c>
      <c r="H251" t="s">
        <v>490</v>
      </c>
      <c r="J251" t="s">
        <v>87</v>
      </c>
      <c r="K251" t="s">
        <v>61</v>
      </c>
      <c r="M251" t="s">
        <v>73</v>
      </c>
    </row>
    <row r="252" spans="1:13" x14ac:dyDescent="0.35">
      <c r="A252">
        <v>5489</v>
      </c>
      <c r="B252" t="s">
        <v>62</v>
      </c>
      <c r="C252" t="s">
        <v>491</v>
      </c>
      <c r="D252" t="s">
        <v>86</v>
      </c>
      <c r="E252" t="s">
        <v>26</v>
      </c>
      <c r="F252" t="s">
        <v>167</v>
      </c>
      <c r="G252">
        <v>4</v>
      </c>
      <c r="H252" t="s">
        <v>18</v>
      </c>
      <c r="I252" t="s">
        <v>54</v>
      </c>
      <c r="J252" t="s">
        <v>20</v>
      </c>
      <c r="K252" t="s">
        <v>72</v>
      </c>
      <c r="M252" t="s">
        <v>73</v>
      </c>
    </row>
    <row r="253" spans="1:13" x14ac:dyDescent="0.35">
      <c r="A253">
        <v>5135</v>
      </c>
      <c r="B253" t="s">
        <v>100</v>
      </c>
      <c r="C253" t="s">
        <v>440</v>
      </c>
      <c r="D253" t="s">
        <v>86</v>
      </c>
      <c r="E253" t="s">
        <v>26</v>
      </c>
      <c r="F253" t="s">
        <v>52</v>
      </c>
      <c r="G253">
        <v>3</v>
      </c>
      <c r="H253" t="s">
        <v>18</v>
      </c>
      <c r="I253" t="s">
        <v>43</v>
      </c>
      <c r="J253" t="s">
        <v>114</v>
      </c>
      <c r="K253" t="s">
        <v>38</v>
      </c>
      <c r="M253" t="s">
        <v>73</v>
      </c>
    </row>
    <row r="254" spans="1:13" x14ac:dyDescent="0.35">
      <c r="A254">
        <v>5095</v>
      </c>
      <c r="B254" t="s">
        <v>120</v>
      </c>
      <c r="C254" t="s">
        <v>492</v>
      </c>
      <c r="D254" t="s">
        <v>34</v>
      </c>
      <c r="E254" t="s">
        <v>26</v>
      </c>
      <c r="F254" t="s">
        <v>52</v>
      </c>
      <c r="H254" t="s">
        <v>493</v>
      </c>
      <c r="I254" t="s">
        <v>19</v>
      </c>
      <c r="J254" t="s">
        <v>78</v>
      </c>
      <c r="K254" t="s">
        <v>84</v>
      </c>
      <c r="M254" t="s">
        <v>22</v>
      </c>
    </row>
    <row r="255" spans="1:13" x14ac:dyDescent="0.35">
      <c r="A255">
        <v>5156</v>
      </c>
      <c r="B255" t="s">
        <v>88</v>
      </c>
      <c r="C255" t="s">
        <v>494</v>
      </c>
      <c r="D255" t="s">
        <v>34</v>
      </c>
      <c r="E255" t="s">
        <v>35</v>
      </c>
      <c r="F255" t="s">
        <v>155</v>
      </c>
      <c r="G255">
        <v>5</v>
      </c>
      <c r="H255" t="s">
        <v>495</v>
      </c>
      <c r="I255" t="s">
        <v>54</v>
      </c>
      <c r="J255" t="s">
        <v>60</v>
      </c>
      <c r="K255" t="s">
        <v>21</v>
      </c>
      <c r="M255" t="s">
        <v>39</v>
      </c>
    </row>
    <row r="256" spans="1:13" x14ac:dyDescent="0.35">
      <c r="A256">
        <v>5080</v>
      </c>
      <c r="B256" t="s">
        <v>88</v>
      </c>
      <c r="C256" t="s">
        <v>496</v>
      </c>
      <c r="D256" t="s">
        <v>76</v>
      </c>
      <c r="E256" t="s">
        <v>16</v>
      </c>
      <c r="F256" t="s">
        <v>170</v>
      </c>
      <c r="G256">
        <v>5</v>
      </c>
      <c r="H256" t="s">
        <v>497</v>
      </c>
      <c r="J256" t="s">
        <v>60</v>
      </c>
      <c r="K256" t="s">
        <v>38</v>
      </c>
      <c r="M256" t="s">
        <v>73</v>
      </c>
    </row>
    <row r="257" spans="1:13" x14ac:dyDescent="0.35">
      <c r="A257">
        <v>5218</v>
      </c>
      <c r="B257" t="s">
        <v>102</v>
      </c>
      <c r="C257" t="s">
        <v>498</v>
      </c>
      <c r="D257" t="s">
        <v>108</v>
      </c>
      <c r="E257" t="s">
        <v>16</v>
      </c>
      <c r="F257" t="s">
        <v>109</v>
      </c>
      <c r="G257">
        <v>3</v>
      </c>
      <c r="H257" t="s">
        <v>499</v>
      </c>
      <c r="I257" t="s">
        <v>54</v>
      </c>
      <c r="J257" t="s">
        <v>153</v>
      </c>
      <c r="K257" t="s">
        <v>84</v>
      </c>
      <c r="M257" t="s">
        <v>79</v>
      </c>
    </row>
    <row r="258" spans="1:13" x14ac:dyDescent="0.35">
      <c r="A258">
        <v>5200</v>
      </c>
      <c r="B258" t="s">
        <v>68</v>
      </c>
      <c r="C258" t="s">
        <v>500</v>
      </c>
      <c r="D258" t="s">
        <v>57</v>
      </c>
      <c r="E258" t="s">
        <v>64</v>
      </c>
      <c r="F258" t="s">
        <v>133</v>
      </c>
      <c r="G258">
        <v>5</v>
      </c>
      <c r="H258" t="s">
        <v>501</v>
      </c>
      <c r="I258" t="s">
        <v>71</v>
      </c>
      <c r="J258" t="s">
        <v>110</v>
      </c>
      <c r="K258" t="s">
        <v>21</v>
      </c>
      <c r="M258" t="s">
        <v>73</v>
      </c>
    </row>
    <row r="259" spans="1:13" x14ac:dyDescent="0.35">
      <c r="A259">
        <v>5110</v>
      </c>
      <c r="B259" t="s">
        <v>210</v>
      </c>
      <c r="C259" t="s">
        <v>502</v>
      </c>
      <c r="D259" t="s">
        <v>76</v>
      </c>
      <c r="E259" t="s">
        <v>64</v>
      </c>
      <c r="F259" t="s">
        <v>116</v>
      </c>
      <c r="G259">
        <v>1</v>
      </c>
      <c r="H259" t="s">
        <v>503</v>
      </c>
      <c r="I259" t="s">
        <v>18</v>
      </c>
      <c r="J259" t="s">
        <v>60</v>
      </c>
      <c r="K259" t="s">
        <v>44</v>
      </c>
      <c r="M259" t="s">
        <v>22</v>
      </c>
    </row>
    <row r="260" spans="1:13" x14ac:dyDescent="0.35">
      <c r="A260">
        <v>5370</v>
      </c>
      <c r="B260" t="s">
        <v>88</v>
      </c>
      <c r="C260" t="s">
        <v>504</v>
      </c>
      <c r="D260" t="s">
        <v>25</v>
      </c>
      <c r="E260" t="s">
        <v>64</v>
      </c>
      <c r="F260" t="s">
        <v>141</v>
      </c>
      <c r="G260">
        <v>3</v>
      </c>
      <c r="H260" t="s">
        <v>505</v>
      </c>
      <c r="I260" t="s">
        <v>43</v>
      </c>
      <c r="J260" t="s">
        <v>47</v>
      </c>
      <c r="K260" t="s">
        <v>61</v>
      </c>
      <c r="M260" t="s">
        <v>73</v>
      </c>
    </row>
    <row r="261" spans="1:13" x14ac:dyDescent="0.35">
      <c r="A261">
        <v>5126</v>
      </c>
      <c r="B261" t="s">
        <v>23</v>
      </c>
      <c r="C261" t="s">
        <v>506</v>
      </c>
      <c r="D261" t="s">
        <v>15</v>
      </c>
      <c r="E261" t="s">
        <v>64</v>
      </c>
      <c r="F261" t="s">
        <v>77</v>
      </c>
      <c r="G261">
        <v>4</v>
      </c>
      <c r="H261" t="s">
        <v>507</v>
      </c>
      <c r="I261" t="s">
        <v>54</v>
      </c>
      <c r="J261" t="s">
        <v>153</v>
      </c>
      <c r="K261" t="s">
        <v>48</v>
      </c>
    </row>
    <row r="262" spans="1:13" x14ac:dyDescent="0.35">
      <c r="A262">
        <v>5027</v>
      </c>
      <c r="B262" t="s">
        <v>68</v>
      </c>
      <c r="C262" t="s">
        <v>508</v>
      </c>
      <c r="D262" t="s">
        <v>108</v>
      </c>
      <c r="E262" t="s">
        <v>16</v>
      </c>
      <c r="F262" t="s">
        <v>17</v>
      </c>
      <c r="G262">
        <v>5</v>
      </c>
      <c r="H262" t="s">
        <v>509</v>
      </c>
      <c r="I262" t="s">
        <v>29</v>
      </c>
      <c r="J262" t="s">
        <v>47</v>
      </c>
      <c r="K262" t="s">
        <v>44</v>
      </c>
      <c r="M262" t="s">
        <v>79</v>
      </c>
    </row>
    <row r="263" spans="1:13" x14ac:dyDescent="0.35">
      <c r="A263">
        <v>5275</v>
      </c>
      <c r="B263" t="s">
        <v>117</v>
      </c>
      <c r="C263" t="s">
        <v>510</v>
      </c>
      <c r="D263" t="s">
        <v>25</v>
      </c>
      <c r="E263" t="s">
        <v>26</v>
      </c>
      <c r="F263" t="s">
        <v>167</v>
      </c>
      <c r="G263">
        <v>1</v>
      </c>
      <c r="H263" t="s">
        <v>511</v>
      </c>
      <c r="I263" t="s">
        <v>43</v>
      </c>
      <c r="J263" t="s">
        <v>87</v>
      </c>
      <c r="K263" t="s">
        <v>48</v>
      </c>
    </row>
    <row r="264" spans="1:13" x14ac:dyDescent="0.35">
      <c r="A264">
        <v>5455</v>
      </c>
      <c r="B264" t="s">
        <v>40</v>
      </c>
      <c r="C264" t="s">
        <v>512</v>
      </c>
      <c r="D264" t="s">
        <v>25</v>
      </c>
      <c r="E264" t="s">
        <v>64</v>
      </c>
      <c r="F264" t="s">
        <v>65</v>
      </c>
      <c r="H264" t="s">
        <v>513</v>
      </c>
      <c r="I264" t="s">
        <v>54</v>
      </c>
      <c r="J264" t="s">
        <v>47</v>
      </c>
      <c r="K264" t="s">
        <v>61</v>
      </c>
      <c r="M264" t="s">
        <v>39</v>
      </c>
    </row>
    <row r="265" spans="1:13" x14ac:dyDescent="0.35">
      <c r="A265">
        <v>5125</v>
      </c>
      <c r="B265" t="s">
        <v>88</v>
      </c>
      <c r="C265" t="s">
        <v>514</v>
      </c>
      <c r="D265" t="s">
        <v>108</v>
      </c>
      <c r="E265" t="s">
        <v>64</v>
      </c>
      <c r="F265" t="s">
        <v>65</v>
      </c>
      <c r="G265">
        <v>5</v>
      </c>
      <c r="H265" t="s">
        <v>515</v>
      </c>
      <c r="I265" t="s">
        <v>18</v>
      </c>
      <c r="J265" t="s">
        <v>114</v>
      </c>
      <c r="K265" t="s">
        <v>44</v>
      </c>
      <c r="M265" t="s">
        <v>39</v>
      </c>
    </row>
    <row r="266" spans="1:13" x14ac:dyDescent="0.35">
      <c r="A266">
        <v>5400</v>
      </c>
      <c r="B266" t="s">
        <v>40</v>
      </c>
      <c r="C266" t="s">
        <v>516</v>
      </c>
      <c r="D266" t="s">
        <v>34</v>
      </c>
      <c r="E266" t="s">
        <v>16</v>
      </c>
      <c r="F266" t="s">
        <v>82</v>
      </c>
      <c r="G266">
        <v>4</v>
      </c>
      <c r="H266" t="s">
        <v>517</v>
      </c>
      <c r="I266" t="s">
        <v>54</v>
      </c>
      <c r="J266" t="s">
        <v>153</v>
      </c>
      <c r="K266" t="s">
        <v>72</v>
      </c>
      <c r="M266" t="s">
        <v>79</v>
      </c>
    </row>
    <row r="267" spans="1:13" x14ac:dyDescent="0.35">
      <c r="A267">
        <v>5063</v>
      </c>
      <c r="B267" t="s">
        <v>117</v>
      </c>
      <c r="C267" t="s">
        <v>518</v>
      </c>
      <c r="D267" t="s">
        <v>15</v>
      </c>
      <c r="E267" t="s">
        <v>64</v>
      </c>
      <c r="F267" t="s">
        <v>65</v>
      </c>
      <c r="G267">
        <v>1</v>
      </c>
      <c r="H267" t="s">
        <v>519</v>
      </c>
      <c r="I267" t="s">
        <v>19</v>
      </c>
      <c r="J267" t="s">
        <v>153</v>
      </c>
      <c r="K267" t="s">
        <v>72</v>
      </c>
      <c r="M267" t="s">
        <v>39</v>
      </c>
    </row>
    <row r="268" spans="1:13" x14ac:dyDescent="0.35">
      <c r="A268">
        <v>5449</v>
      </c>
      <c r="B268" t="s">
        <v>55</v>
      </c>
      <c r="C268" t="s">
        <v>520</v>
      </c>
      <c r="D268" t="s">
        <v>76</v>
      </c>
      <c r="E268" t="s">
        <v>64</v>
      </c>
      <c r="F268" t="s">
        <v>141</v>
      </c>
      <c r="G268">
        <v>5</v>
      </c>
      <c r="H268" t="s">
        <v>521</v>
      </c>
      <c r="I268" t="s">
        <v>19</v>
      </c>
      <c r="J268" t="s">
        <v>110</v>
      </c>
      <c r="K268" t="s">
        <v>84</v>
      </c>
      <c r="M268" t="s">
        <v>67</v>
      </c>
    </row>
    <row r="269" spans="1:13" x14ac:dyDescent="0.35">
      <c r="A269">
        <v>5392</v>
      </c>
      <c r="B269" t="s">
        <v>55</v>
      </c>
      <c r="C269" t="s">
        <v>522</v>
      </c>
      <c r="D269" t="s">
        <v>51</v>
      </c>
      <c r="E269" t="s">
        <v>16</v>
      </c>
      <c r="F269" t="s">
        <v>109</v>
      </c>
      <c r="G269">
        <v>1</v>
      </c>
      <c r="H269" t="s">
        <v>18</v>
      </c>
      <c r="I269" t="s">
        <v>43</v>
      </c>
      <c r="J269" t="s">
        <v>60</v>
      </c>
      <c r="K269" t="s">
        <v>48</v>
      </c>
      <c r="M269" t="s">
        <v>39</v>
      </c>
    </row>
    <row r="270" spans="1:13" x14ac:dyDescent="0.35">
      <c r="A270">
        <v>5149</v>
      </c>
      <c r="B270" t="s">
        <v>74</v>
      </c>
      <c r="C270" t="s">
        <v>449</v>
      </c>
      <c r="D270" t="s">
        <v>57</v>
      </c>
      <c r="E270" t="s">
        <v>26</v>
      </c>
      <c r="F270" t="s">
        <v>167</v>
      </c>
      <c r="G270">
        <v>2</v>
      </c>
      <c r="H270" t="s">
        <v>18</v>
      </c>
      <c r="I270" t="s">
        <v>54</v>
      </c>
      <c r="J270" t="s">
        <v>20</v>
      </c>
      <c r="K270" t="s">
        <v>61</v>
      </c>
      <c r="M270" t="s">
        <v>22</v>
      </c>
    </row>
    <row r="271" spans="1:13" x14ac:dyDescent="0.35">
      <c r="A271">
        <v>5287</v>
      </c>
      <c r="B271" t="s">
        <v>88</v>
      </c>
      <c r="C271" t="s">
        <v>523</v>
      </c>
      <c r="D271" t="s">
        <v>34</v>
      </c>
      <c r="E271" t="s">
        <v>35</v>
      </c>
      <c r="F271" t="s">
        <v>36</v>
      </c>
      <c r="G271">
        <v>4</v>
      </c>
      <c r="H271" t="s">
        <v>524</v>
      </c>
      <c r="J271" t="s">
        <v>153</v>
      </c>
      <c r="K271" t="s">
        <v>72</v>
      </c>
      <c r="M271" t="s">
        <v>67</v>
      </c>
    </row>
    <row r="272" spans="1:13" x14ac:dyDescent="0.35">
      <c r="A272">
        <v>5051</v>
      </c>
      <c r="B272" t="s">
        <v>23</v>
      </c>
      <c r="C272" t="s">
        <v>240</v>
      </c>
      <c r="D272" t="s">
        <v>86</v>
      </c>
      <c r="E272" t="s">
        <v>26</v>
      </c>
      <c r="F272" t="s">
        <v>46</v>
      </c>
      <c r="G272">
        <v>3</v>
      </c>
      <c r="H272" t="s">
        <v>525</v>
      </c>
      <c r="I272" t="s">
        <v>29</v>
      </c>
      <c r="J272" t="s">
        <v>78</v>
      </c>
      <c r="K272" t="s">
        <v>44</v>
      </c>
      <c r="M272" t="s">
        <v>79</v>
      </c>
    </row>
    <row r="273" spans="1:13" x14ac:dyDescent="0.35">
      <c r="A273">
        <v>5393</v>
      </c>
      <c r="B273" t="s">
        <v>23</v>
      </c>
      <c r="C273" t="s">
        <v>526</v>
      </c>
      <c r="D273" t="s">
        <v>15</v>
      </c>
      <c r="E273" t="s">
        <v>64</v>
      </c>
      <c r="F273" t="s">
        <v>77</v>
      </c>
      <c r="G273">
        <v>1</v>
      </c>
      <c r="H273" t="s">
        <v>527</v>
      </c>
      <c r="I273" t="s">
        <v>71</v>
      </c>
      <c r="J273" t="s">
        <v>60</v>
      </c>
      <c r="K273" t="s">
        <v>44</v>
      </c>
      <c r="M273" t="s">
        <v>73</v>
      </c>
    </row>
    <row r="274" spans="1:13" x14ac:dyDescent="0.35">
      <c r="A274">
        <v>5104</v>
      </c>
      <c r="B274" t="s">
        <v>129</v>
      </c>
      <c r="C274" t="s">
        <v>261</v>
      </c>
      <c r="D274" t="s">
        <v>51</v>
      </c>
      <c r="E274" t="s">
        <v>16</v>
      </c>
      <c r="F274" t="s">
        <v>17</v>
      </c>
      <c r="H274" t="s">
        <v>528</v>
      </c>
      <c r="J274" t="s">
        <v>114</v>
      </c>
      <c r="K274" t="s">
        <v>48</v>
      </c>
      <c r="M274" t="s">
        <v>67</v>
      </c>
    </row>
    <row r="275" spans="1:13" x14ac:dyDescent="0.35">
      <c r="A275">
        <v>5264</v>
      </c>
      <c r="B275" t="s">
        <v>120</v>
      </c>
      <c r="C275" t="s">
        <v>529</v>
      </c>
      <c r="D275" t="s">
        <v>76</v>
      </c>
      <c r="E275" t="s">
        <v>16</v>
      </c>
      <c r="F275" t="s">
        <v>109</v>
      </c>
      <c r="G275">
        <v>5</v>
      </c>
      <c r="H275" t="s">
        <v>530</v>
      </c>
      <c r="I275" t="s">
        <v>29</v>
      </c>
      <c r="J275" t="s">
        <v>30</v>
      </c>
      <c r="K275" t="s">
        <v>48</v>
      </c>
      <c r="M275" t="s">
        <v>39</v>
      </c>
    </row>
    <row r="276" spans="1:13" x14ac:dyDescent="0.35">
      <c r="A276">
        <v>5369</v>
      </c>
      <c r="B276" t="s">
        <v>117</v>
      </c>
      <c r="C276" t="s">
        <v>531</v>
      </c>
      <c r="D276" t="s">
        <v>51</v>
      </c>
      <c r="E276" t="s">
        <v>64</v>
      </c>
      <c r="F276" t="s">
        <v>141</v>
      </c>
      <c r="G276">
        <v>1</v>
      </c>
      <c r="H276" t="s">
        <v>532</v>
      </c>
      <c r="I276" t="s">
        <v>54</v>
      </c>
      <c r="J276" t="s">
        <v>114</v>
      </c>
      <c r="K276" t="s">
        <v>48</v>
      </c>
    </row>
    <row r="277" spans="1:13" x14ac:dyDescent="0.35">
      <c r="A277">
        <v>5174</v>
      </c>
      <c r="B277" t="s">
        <v>88</v>
      </c>
      <c r="C277" t="s">
        <v>533</v>
      </c>
      <c r="D277" t="s">
        <v>15</v>
      </c>
      <c r="E277" t="s">
        <v>26</v>
      </c>
      <c r="F277" t="s">
        <v>167</v>
      </c>
      <c r="G277">
        <v>3</v>
      </c>
      <c r="H277" t="s">
        <v>534</v>
      </c>
      <c r="I277" t="s">
        <v>71</v>
      </c>
      <c r="J277" t="s">
        <v>47</v>
      </c>
      <c r="K277" t="s">
        <v>61</v>
      </c>
      <c r="M277" t="s">
        <v>79</v>
      </c>
    </row>
    <row r="278" spans="1:13" x14ac:dyDescent="0.35">
      <c r="A278">
        <v>5322</v>
      </c>
      <c r="B278" t="s">
        <v>55</v>
      </c>
      <c r="C278" t="s">
        <v>535</v>
      </c>
      <c r="D278" t="s">
        <v>34</v>
      </c>
      <c r="E278" t="s">
        <v>16</v>
      </c>
      <c r="F278" t="s">
        <v>17</v>
      </c>
      <c r="G278">
        <v>1</v>
      </c>
      <c r="H278" t="s">
        <v>536</v>
      </c>
      <c r="I278" t="s">
        <v>54</v>
      </c>
      <c r="J278" t="s">
        <v>30</v>
      </c>
      <c r="K278" t="s">
        <v>21</v>
      </c>
      <c r="M278" t="s">
        <v>79</v>
      </c>
    </row>
    <row r="279" spans="1:13" x14ac:dyDescent="0.35">
      <c r="A279">
        <v>5422</v>
      </c>
      <c r="B279" t="s">
        <v>68</v>
      </c>
      <c r="C279" t="s">
        <v>417</v>
      </c>
      <c r="D279" t="s">
        <v>108</v>
      </c>
      <c r="E279" t="s">
        <v>64</v>
      </c>
      <c r="F279" t="s">
        <v>133</v>
      </c>
      <c r="H279" t="s">
        <v>18</v>
      </c>
      <c r="I279" t="s">
        <v>54</v>
      </c>
      <c r="J279" t="s">
        <v>20</v>
      </c>
      <c r="K279" t="s">
        <v>21</v>
      </c>
      <c r="M279" t="s">
        <v>79</v>
      </c>
    </row>
    <row r="280" spans="1:13" x14ac:dyDescent="0.35">
      <c r="A280">
        <v>5323</v>
      </c>
      <c r="B280" t="s">
        <v>93</v>
      </c>
      <c r="C280" t="s">
        <v>222</v>
      </c>
      <c r="D280" t="s">
        <v>57</v>
      </c>
      <c r="E280" t="s">
        <v>64</v>
      </c>
      <c r="F280" t="s">
        <v>77</v>
      </c>
      <c r="G280">
        <v>3</v>
      </c>
      <c r="H280" t="s">
        <v>18</v>
      </c>
      <c r="I280" t="s">
        <v>71</v>
      </c>
      <c r="J280" t="s">
        <v>20</v>
      </c>
      <c r="K280" t="s">
        <v>21</v>
      </c>
    </row>
    <row r="281" spans="1:13" x14ac:dyDescent="0.35">
      <c r="A281">
        <v>5304</v>
      </c>
      <c r="B281" t="s">
        <v>126</v>
      </c>
      <c r="C281" t="s">
        <v>537</v>
      </c>
      <c r="D281" t="s">
        <v>34</v>
      </c>
      <c r="E281" t="s">
        <v>64</v>
      </c>
      <c r="F281" t="s">
        <v>116</v>
      </c>
      <c r="G281">
        <v>2</v>
      </c>
      <c r="H281" t="s">
        <v>538</v>
      </c>
      <c r="I281" t="s">
        <v>29</v>
      </c>
      <c r="J281" t="s">
        <v>153</v>
      </c>
      <c r="K281" t="s">
        <v>48</v>
      </c>
      <c r="M281" t="s">
        <v>22</v>
      </c>
    </row>
    <row r="282" spans="1:13" x14ac:dyDescent="0.35">
      <c r="A282">
        <v>5133</v>
      </c>
      <c r="B282" t="s">
        <v>88</v>
      </c>
      <c r="C282" t="s">
        <v>446</v>
      </c>
      <c r="D282" t="s">
        <v>34</v>
      </c>
      <c r="E282" t="s">
        <v>64</v>
      </c>
      <c r="F282" t="s">
        <v>116</v>
      </c>
      <c r="G282">
        <v>1</v>
      </c>
      <c r="H282" t="s">
        <v>539</v>
      </c>
      <c r="I282" t="s">
        <v>43</v>
      </c>
      <c r="J282" t="s">
        <v>47</v>
      </c>
      <c r="K282" t="s">
        <v>38</v>
      </c>
      <c r="M282" t="s">
        <v>79</v>
      </c>
    </row>
    <row r="283" spans="1:13" x14ac:dyDescent="0.35">
      <c r="A283">
        <v>5255</v>
      </c>
      <c r="B283" t="s">
        <v>32</v>
      </c>
      <c r="C283" t="s">
        <v>540</v>
      </c>
      <c r="D283" t="s">
        <v>86</v>
      </c>
      <c r="E283" t="s">
        <v>16</v>
      </c>
      <c r="F283" t="s">
        <v>170</v>
      </c>
      <c r="G283">
        <v>4</v>
      </c>
      <c r="H283" t="s">
        <v>541</v>
      </c>
      <c r="J283" t="s">
        <v>20</v>
      </c>
      <c r="K283" t="s">
        <v>48</v>
      </c>
      <c r="M283" t="s">
        <v>67</v>
      </c>
    </row>
    <row r="284" spans="1:13" x14ac:dyDescent="0.35">
      <c r="A284">
        <v>5032</v>
      </c>
      <c r="B284" t="s">
        <v>23</v>
      </c>
      <c r="C284" t="s">
        <v>542</v>
      </c>
      <c r="D284" t="s">
        <v>86</v>
      </c>
      <c r="E284" t="s">
        <v>16</v>
      </c>
      <c r="F284" t="s">
        <v>170</v>
      </c>
      <c r="H284" t="s">
        <v>18</v>
      </c>
      <c r="I284" t="s">
        <v>18</v>
      </c>
      <c r="J284" t="s">
        <v>20</v>
      </c>
      <c r="K284" t="s">
        <v>21</v>
      </c>
      <c r="M284" t="s">
        <v>39</v>
      </c>
    </row>
    <row r="285" spans="1:13" x14ac:dyDescent="0.35">
      <c r="A285">
        <v>5274</v>
      </c>
      <c r="B285" t="s">
        <v>102</v>
      </c>
      <c r="C285" t="s">
        <v>407</v>
      </c>
      <c r="D285" t="s">
        <v>15</v>
      </c>
      <c r="E285" t="s">
        <v>35</v>
      </c>
      <c r="F285" t="s">
        <v>58</v>
      </c>
      <c r="H285" t="s">
        <v>18</v>
      </c>
      <c r="I285" t="s">
        <v>54</v>
      </c>
      <c r="J285" t="s">
        <v>20</v>
      </c>
      <c r="K285" t="s">
        <v>61</v>
      </c>
      <c r="M285" t="s">
        <v>22</v>
      </c>
    </row>
    <row r="286" spans="1:13" x14ac:dyDescent="0.35">
      <c r="A286">
        <v>5075</v>
      </c>
      <c r="B286" t="s">
        <v>88</v>
      </c>
      <c r="C286" t="s">
        <v>543</v>
      </c>
      <c r="D286" t="s">
        <v>57</v>
      </c>
      <c r="E286" t="s">
        <v>35</v>
      </c>
      <c r="F286" t="s">
        <v>58</v>
      </c>
      <c r="G286">
        <v>1</v>
      </c>
      <c r="H286" t="s">
        <v>544</v>
      </c>
      <c r="I286" t="s">
        <v>54</v>
      </c>
      <c r="J286" t="s">
        <v>60</v>
      </c>
      <c r="K286" t="s">
        <v>44</v>
      </c>
      <c r="M286" t="s">
        <v>31</v>
      </c>
    </row>
    <row r="287" spans="1:13" x14ac:dyDescent="0.35">
      <c r="A287">
        <v>5451</v>
      </c>
      <c r="B287" t="s">
        <v>74</v>
      </c>
      <c r="C287" t="s">
        <v>162</v>
      </c>
      <c r="D287" t="s">
        <v>86</v>
      </c>
      <c r="E287" t="s">
        <v>16</v>
      </c>
      <c r="F287" t="s">
        <v>109</v>
      </c>
      <c r="G287">
        <v>4</v>
      </c>
      <c r="H287" t="s">
        <v>545</v>
      </c>
      <c r="I287" t="s">
        <v>54</v>
      </c>
      <c r="J287" t="s">
        <v>20</v>
      </c>
      <c r="K287" t="s">
        <v>44</v>
      </c>
      <c r="M287" t="s">
        <v>39</v>
      </c>
    </row>
    <row r="288" spans="1:13" x14ac:dyDescent="0.35">
      <c r="A288">
        <v>5416</v>
      </c>
      <c r="B288" t="s">
        <v>23</v>
      </c>
      <c r="C288" t="s">
        <v>546</v>
      </c>
      <c r="D288" t="s">
        <v>57</v>
      </c>
      <c r="E288" t="s">
        <v>64</v>
      </c>
      <c r="F288" t="s">
        <v>77</v>
      </c>
      <c r="H288" t="s">
        <v>18</v>
      </c>
      <c r="I288" t="s">
        <v>71</v>
      </c>
      <c r="J288" t="s">
        <v>78</v>
      </c>
      <c r="K288" t="s">
        <v>72</v>
      </c>
      <c r="M288" t="s">
        <v>73</v>
      </c>
    </row>
    <row r="289" spans="1:13" x14ac:dyDescent="0.35">
      <c r="A289">
        <v>5476</v>
      </c>
      <c r="B289" t="s">
        <v>40</v>
      </c>
      <c r="C289" t="s">
        <v>547</v>
      </c>
      <c r="D289" t="s">
        <v>108</v>
      </c>
      <c r="E289" t="s">
        <v>16</v>
      </c>
      <c r="F289" t="s">
        <v>42</v>
      </c>
      <c r="G289">
        <v>2</v>
      </c>
      <c r="H289" t="s">
        <v>548</v>
      </c>
      <c r="I289" t="s">
        <v>29</v>
      </c>
      <c r="J289" t="s">
        <v>20</v>
      </c>
      <c r="K289" t="s">
        <v>21</v>
      </c>
      <c r="M289" t="s">
        <v>31</v>
      </c>
    </row>
    <row r="290" spans="1:13" x14ac:dyDescent="0.35">
      <c r="A290">
        <v>5036</v>
      </c>
      <c r="B290" t="s">
        <v>151</v>
      </c>
      <c r="C290" t="s">
        <v>322</v>
      </c>
      <c r="D290" t="s">
        <v>86</v>
      </c>
      <c r="E290" t="s">
        <v>16</v>
      </c>
      <c r="F290" t="s">
        <v>82</v>
      </c>
      <c r="H290" t="s">
        <v>549</v>
      </c>
      <c r="I290" t="s">
        <v>18</v>
      </c>
      <c r="J290" t="s">
        <v>110</v>
      </c>
      <c r="K290" t="s">
        <v>61</v>
      </c>
      <c r="M290" t="s">
        <v>39</v>
      </c>
    </row>
    <row r="291" spans="1:13" x14ac:dyDescent="0.35">
      <c r="A291">
        <v>5231</v>
      </c>
      <c r="B291" t="s">
        <v>102</v>
      </c>
      <c r="C291" t="s">
        <v>440</v>
      </c>
      <c r="D291" t="s">
        <v>108</v>
      </c>
      <c r="E291" t="s">
        <v>26</v>
      </c>
      <c r="F291" t="s">
        <v>112</v>
      </c>
      <c r="G291">
        <v>1</v>
      </c>
      <c r="H291" t="s">
        <v>18</v>
      </c>
      <c r="J291" t="s">
        <v>153</v>
      </c>
      <c r="K291" t="s">
        <v>84</v>
      </c>
      <c r="M291" t="s">
        <v>79</v>
      </c>
    </row>
    <row r="292" spans="1:13" x14ac:dyDescent="0.35">
      <c r="A292">
        <v>5493</v>
      </c>
      <c r="B292" t="s">
        <v>96</v>
      </c>
      <c r="C292" t="s">
        <v>550</v>
      </c>
      <c r="D292" t="s">
        <v>348</v>
      </c>
      <c r="E292" t="s">
        <v>26</v>
      </c>
      <c r="F292" t="s">
        <v>167</v>
      </c>
      <c r="G292">
        <v>1</v>
      </c>
      <c r="H292" t="s">
        <v>551</v>
      </c>
      <c r="I292" t="s">
        <v>29</v>
      </c>
      <c r="J292" t="s">
        <v>30</v>
      </c>
      <c r="K292" t="s">
        <v>44</v>
      </c>
      <c r="M292" t="s">
        <v>73</v>
      </c>
    </row>
    <row r="293" spans="1:13" x14ac:dyDescent="0.35">
      <c r="A293">
        <v>5434</v>
      </c>
      <c r="B293" t="s">
        <v>74</v>
      </c>
      <c r="C293" t="s">
        <v>467</v>
      </c>
      <c r="D293" t="s">
        <v>86</v>
      </c>
      <c r="E293" t="s">
        <v>16</v>
      </c>
      <c r="F293" t="s">
        <v>109</v>
      </c>
      <c r="H293" t="s">
        <v>552</v>
      </c>
      <c r="I293" t="s">
        <v>71</v>
      </c>
      <c r="J293" t="s">
        <v>47</v>
      </c>
      <c r="K293" t="s">
        <v>72</v>
      </c>
      <c r="M293" t="s">
        <v>67</v>
      </c>
    </row>
    <row r="294" spans="1:13" x14ac:dyDescent="0.35">
      <c r="A294">
        <v>5223</v>
      </c>
      <c r="B294" t="s">
        <v>93</v>
      </c>
      <c r="C294" t="s">
        <v>553</v>
      </c>
      <c r="D294" t="s">
        <v>25</v>
      </c>
      <c r="E294" t="s">
        <v>16</v>
      </c>
      <c r="F294" t="s">
        <v>170</v>
      </c>
      <c r="G294">
        <v>4</v>
      </c>
      <c r="H294" t="s">
        <v>554</v>
      </c>
      <c r="I294" t="s">
        <v>29</v>
      </c>
      <c r="J294" t="s">
        <v>47</v>
      </c>
      <c r="K294" t="s">
        <v>38</v>
      </c>
    </row>
    <row r="295" spans="1:13" x14ac:dyDescent="0.35">
      <c r="A295">
        <v>5313</v>
      </c>
      <c r="B295" t="s">
        <v>117</v>
      </c>
      <c r="C295" t="s">
        <v>555</v>
      </c>
      <c r="D295" t="s">
        <v>15</v>
      </c>
      <c r="E295" t="s">
        <v>64</v>
      </c>
      <c r="F295" t="s">
        <v>77</v>
      </c>
      <c r="G295">
        <v>3</v>
      </c>
      <c r="H295" t="s">
        <v>556</v>
      </c>
      <c r="I295" t="s">
        <v>71</v>
      </c>
      <c r="J295" t="s">
        <v>87</v>
      </c>
      <c r="K295" t="s">
        <v>72</v>
      </c>
      <c r="M295" t="s">
        <v>22</v>
      </c>
    </row>
    <row r="296" spans="1:13" x14ac:dyDescent="0.35">
      <c r="A296">
        <v>5307</v>
      </c>
      <c r="B296" t="s">
        <v>13</v>
      </c>
      <c r="C296" t="s">
        <v>557</v>
      </c>
      <c r="D296" t="s">
        <v>86</v>
      </c>
      <c r="E296" t="s">
        <v>35</v>
      </c>
      <c r="F296" t="s">
        <v>58</v>
      </c>
      <c r="H296" t="s">
        <v>558</v>
      </c>
      <c r="I296" t="s">
        <v>19</v>
      </c>
      <c r="J296" t="s">
        <v>60</v>
      </c>
      <c r="K296" t="s">
        <v>48</v>
      </c>
      <c r="M296" t="s">
        <v>39</v>
      </c>
    </row>
    <row r="297" spans="1:13" x14ac:dyDescent="0.35">
      <c r="A297">
        <v>5293</v>
      </c>
      <c r="B297" t="s">
        <v>117</v>
      </c>
      <c r="C297" t="s">
        <v>228</v>
      </c>
      <c r="D297" t="s">
        <v>108</v>
      </c>
      <c r="E297" t="s">
        <v>16</v>
      </c>
      <c r="F297" t="s">
        <v>42</v>
      </c>
      <c r="G297">
        <v>5</v>
      </c>
      <c r="H297" t="s">
        <v>559</v>
      </c>
      <c r="I297" t="s">
        <v>19</v>
      </c>
      <c r="J297" t="s">
        <v>30</v>
      </c>
      <c r="K297" t="s">
        <v>72</v>
      </c>
    </row>
    <row r="298" spans="1:13" x14ac:dyDescent="0.35">
      <c r="A298">
        <v>5040</v>
      </c>
      <c r="B298" t="s">
        <v>55</v>
      </c>
      <c r="C298" t="s">
        <v>560</v>
      </c>
      <c r="D298" t="s">
        <v>51</v>
      </c>
      <c r="E298" t="s">
        <v>64</v>
      </c>
      <c r="F298" t="s">
        <v>77</v>
      </c>
      <c r="G298">
        <v>5</v>
      </c>
      <c r="H298" t="s">
        <v>561</v>
      </c>
      <c r="I298" t="s">
        <v>19</v>
      </c>
      <c r="J298" t="s">
        <v>114</v>
      </c>
      <c r="K298" t="s">
        <v>61</v>
      </c>
      <c r="M298" t="s">
        <v>67</v>
      </c>
    </row>
    <row r="299" spans="1:13" x14ac:dyDescent="0.35">
      <c r="A299">
        <v>5285</v>
      </c>
      <c r="B299" t="s">
        <v>93</v>
      </c>
      <c r="C299" t="s">
        <v>470</v>
      </c>
      <c r="D299" t="s">
        <v>34</v>
      </c>
      <c r="E299" t="s">
        <v>16</v>
      </c>
      <c r="F299" t="s">
        <v>170</v>
      </c>
      <c r="G299">
        <v>2</v>
      </c>
      <c r="H299" t="s">
        <v>562</v>
      </c>
      <c r="I299" t="s">
        <v>54</v>
      </c>
      <c r="J299" t="s">
        <v>153</v>
      </c>
      <c r="K299" t="s">
        <v>61</v>
      </c>
      <c r="M299" t="s">
        <v>67</v>
      </c>
    </row>
    <row r="300" spans="1:13" x14ac:dyDescent="0.35">
      <c r="A300">
        <v>5186</v>
      </c>
      <c r="B300" t="s">
        <v>102</v>
      </c>
      <c r="C300" t="s">
        <v>563</v>
      </c>
      <c r="D300" t="s">
        <v>15</v>
      </c>
      <c r="E300" t="s">
        <v>35</v>
      </c>
      <c r="F300" t="s">
        <v>155</v>
      </c>
      <c r="H300" t="s">
        <v>564</v>
      </c>
      <c r="I300" t="s">
        <v>19</v>
      </c>
      <c r="J300" t="s">
        <v>87</v>
      </c>
      <c r="K300" t="s">
        <v>84</v>
      </c>
      <c r="M300" t="s">
        <v>79</v>
      </c>
    </row>
    <row r="301" spans="1:13" x14ac:dyDescent="0.35">
      <c r="A301">
        <v>5315</v>
      </c>
      <c r="B301" t="s">
        <v>32</v>
      </c>
      <c r="C301" t="s">
        <v>565</v>
      </c>
      <c r="D301" t="s">
        <v>25</v>
      </c>
      <c r="E301" t="s">
        <v>16</v>
      </c>
      <c r="F301" t="s">
        <v>109</v>
      </c>
      <c r="G301">
        <v>1</v>
      </c>
      <c r="H301" t="s">
        <v>566</v>
      </c>
      <c r="I301" t="s">
        <v>71</v>
      </c>
      <c r="J301" t="s">
        <v>78</v>
      </c>
      <c r="K301" t="s">
        <v>72</v>
      </c>
      <c r="M301" t="s">
        <v>67</v>
      </c>
    </row>
    <row r="302" spans="1:13" x14ac:dyDescent="0.35">
      <c r="A302">
        <v>5423</v>
      </c>
      <c r="B302" t="s">
        <v>126</v>
      </c>
      <c r="C302" t="s">
        <v>567</v>
      </c>
      <c r="D302" t="s">
        <v>51</v>
      </c>
      <c r="E302" t="s">
        <v>16</v>
      </c>
      <c r="F302" t="s">
        <v>82</v>
      </c>
      <c r="G302">
        <v>4</v>
      </c>
      <c r="H302" t="s">
        <v>568</v>
      </c>
      <c r="I302" t="s">
        <v>43</v>
      </c>
      <c r="J302" t="s">
        <v>30</v>
      </c>
      <c r="K302" t="s">
        <v>84</v>
      </c>
      <c r="M302" t="s">
        <v>79</v>
      </c>
    </row>
    <row r="303" spans="1:13" x14ac:dyDescent="0.35">
      <c r="A303">
        <v>5006</v>
      </c>
      <c r="B303" t="s">
        <v>117</v>
      </c>
      <c r="C303" t="s">
        <v>569</v>
      </c>
      <c r="D303" t="s">
        <v>108</v>
      </c>
      <c r="E303" t="s">
        <v>64</v>
      </c>
      <c r="F303" t="s">
        <v>77</v>
      </c>
      <c r="G303">
        <v>3</v>
      </c>
      <c r="H303" t="s">
        <v>570</v>
      </c>
      <c r="I303" t="s">
        <v>18</v>
      </c>
      <c r="J303" t="s">
        <v>30</v>
      </c>
      <c r="K303" t="s">
        <v>84</v>
      </c>
      <c r="M303" t="s">
        <v>39</v>
      </c>
    </row>
    <row r="304" spans="1:13" x14ac:dyDescent="0.35">
      <c r="A304">
        <v>5376</v>
      </c>
      <c r="B304" t="s">
        <v>23</v>
      </c>
      <c r="C304" t="s">
        <v>571</v>
      </c>
      <c r="D304" t="s">
        <v>108</v>
      </c>
      <c r="E304" t="s">
        <v>26</v>
      </c>
      <c r="F304" t="s">
        <v>27</v>
      </c>
      <c r="G304">
        <v>2</v>
      </c>
      <c r="H304" t="s">
        <v>18</v>
      </c>
      <c r="I304" t="s">
        <v>29</v>
      </c>
      <c r="J304" t="s">
        <v>60</v>
      </c>
      <c r="K304" t="s">
        <v>84</v>
      </c>
      <c r="M304" t="s">
        <v>31</v>
      </c>
    </row>
    <row r="305" spans="1:13" x14ac:dyDescent="0.35">
      <c r="A305">
        <v>5115</v>
      </c>
      <c r="B305" t="s">
        <v>74</v>
      </c>
      <c r="C305" t="s">
        <v>572</v>
      </c>
      <c r="D305" t="s">
        <v>76</v>
      </c>
      <c r="E305" t="s">
        <v>16</v>
      </c>
      <c r="F305" t="s">
        <v>170</v>
      </c>
      <c r="G305">
        <v>5</v>
      </c>
      <c r="H305" t="s">
        <v>573</v>
      </c>
      <c r="J305" t="s">
        <v>114</v>
      </c>
      <c r="K305" t="s">
        <v>84</v>
      </c>
      <c r="M305" t="s">
        <v>39</v>
      </c>
    </row>
    <row r="306" spans="1:13" x14ac:dyDescent="0.35">
      <c r="A306">
        <v>5390</v>
      </c>
      <c r="B306" t="s">
        <v>23</v>
      </c>
      <c r="C306" t="s">
        <v>574</v>
      </c>
      <c r="D306" t="s">
        <v>25</v>
      </c>
      <c r="E306" t="s">
        <v>16</v>
      </c>
      <c r="F306" t="s">
        <v>42</v>
      </c>
      <c r="H306" t="s">
        <v>575</v>
      </c>
      <c r="I306" t="s">
        <v>43</v>
      </c>
      <c r="J306" t="s">
        <v>110</v>
      </c>
      <c r="K306" t="s">
        <v>84</v>
      </c>
      <c r="M306" t="s">
        <v>22</v>
      </c>
    </row>
    <row r="307" spans="1:13" x14ac:dyDescent="0.35">
      <c r="A307">
        <v>5151</v>
      </c>
      <c r="B307" t="s">
        <v>102</v>
      </c>
      <c r="C307" t="s">
        <v>576</v>
      </c>
      <c r="D307" t="s">
        <v>51</v>
      </c>
      <c r="E307" t="s">
        <v>16</v>
      </c>
      <c r="F307" t="s">
        <v>109</v>
      </c>
      <c r="G307">
        <v>2</v>
      </c>
      <c r="H307" t="s">
        <v>577</v>
      </c>
      <c r="I307" t="s">
        <v>54</v>
      </c>
      <c r="J307" t="s">
        <v>87</v>
      </c>
      <c r="K307" t="s">
        <v>61</v>
      </c>
      <c r="M307" t="s">
        <v>73</v>
      </c>
    </row>
    <row r="308" spans="1:13" x14ac:dyDescent="0.35">
      <c r="A308">
        <v>5352</v>
      </c>
      <c r="B308" t="s">
        <v>129</v>
      </c>
      <c r="C308" t="s">
        <v>578</v>
      </c>
      <c r="D308" t="s">
        <v>86</v>
      </c>
      <c r="E308" t="s">
        <v>26</v>
      </c>
      <c r="F308" t="s">
        <v>167</v>
      </c>
      <c r="G308">
        <v>5</v>
      </c>
      <c r="H308" t="s">
        <v>18</v>
      </c>
      <c r="I308" t="s">
        <v>43</v>
      </c>
      <c r="J308" t="s">
        <v>20</v>
      </c>
      <c r="K308" t="s">
        <v>38</v>
      </c>
      <c r="M308" t="s">
        <v>67</v>
      </c>
    </row>
    <row r="309" spans="1:13" x14ac:dyDescent="0.35">
      <c r="A309">
        <v>5314</v>
      </c>
      <c r="B309" t="s">
        <v>74</v>
      </c>
      <c r="C309" t="s">
        <v>407</v>
      </c>
      <c r="D309" t="s">
        <v>15</v>
      </c>
      <c r="E309" t="s">
        <v>64</v>
      </c>
      <c r="F309" t="s">
        <v>77</v>
      </c>
      <c r="H309" t="s">
        <v>18</v>
      </c>
      <c r="I309" t="s">
        <v>54</v>
      </c>
      <c r="J309" t="s">
        <v>20</v>
      </c>
      <c r="K309" t="s">
        <v>21</v>
      </c>
    </row>
    <row r="310" spans="1:13" x14ac:dyDescent="0.35">
      <c r="A310">
        <v>5330</v>
      </c>
      <c r="B310" t="s">
        <v>13</v>
      </c>
      <c r="C310" t="s">
        <v>123</v>
      </c>
      <c r="D310" t="s">
        <v>76</v>
      </c>
      <c r="E310" t="s">
        <v>35</v>
      </c>
      <c r="F310" t="s">
        <v>136</v>
      </c>
      <c r="G310">
        <v>5</v>
      </c>
      <c r="H310" t="s">
        <v>579</v>
      </c>
      <c r="I310" t="s">
        <v>29</v>
      </c>
      <c r="J310" t="s">
        <v>30</v>
      </c>
      <c r="K310" t="s">
        <v>21</v>
      </c>
      <c r="M310" t="s">
        <v>79</v>
      </c>
    </row>
    <row r="311" spans="1:13" x14ac:dyDescent="0.35">
      <c r="A311">
        <v>5225</v>
      </c>
      <c r="B311" t="s">
        <v>102</v>
      </c>
      <c r="C311" t="s">
        <v>580</v>
      </c>
      <c r="D311" t="s">
        <v>51</v>
      </c>
      <c r="E311" t="s">
        <v>64</v>
      </c>
      <c r="F311" t="s">
        <v>141</v>
      </c>
      <c r="G311">
        <v>4</v>
      </c>
      <c r="H311" t="s">
        <v>581</v>
      </c>
      <c r="I311" t="s">
        <v>43</v>
      </c>
      <c r="J311" t="s">
        <v>60</v>
      </c>
      <c r="K311" t="s">
        <v>38</v>
      </c>
      <c r="M311" t="s">
        <v>39</v>
      </c>
    </row>
    <row r="312" spans="1:13" x14ac:dyDescent="0.35">
      <c r="A312">
        <v>5479</v>
      </c>
      <c r="B312" t="s">
        <v>23</v>
      </c>
      <c r="C312" t="s">
        <v>457</v>
      </c>
      <c r="D312" t="s">
        <v>25</v>
      </c>
      <c r="E312" t="s">
        <v>16</v>
      </c>
      <c r="F312" t="s">
        <v>42</v>
      </c>
      <c r="G312">
        <v>5</v>
      </c>
      <c r="H312" t="s">
        <v>18</v>
      </c>
      <c r="I312" t="s">
        <v>18</v>
      </c>
      <c r="J312" t="s">
        <v>30</v>
      </c>
      <c r="K312" t="s">
        <v>21</v>
      </c>
      <c r="M312" t="s">
        <v>39</v>
      </c>
    </row>
    <row r="313" spans="1:13" x14ac:dyDescent="0.35">
      <c r="A313">
        <v>5124</v>
      </c>
      <c r="B313" t="s">
        <v>117</v>
      </c>
      <c r="C313" t="s">
        <v>582</v>
      </c>
      <c r="D313" t="s">
        <v>76</v>
      </c>
      <c r="E313" t="s">
        <v>64</v>
      </c>
      <c r="F313" t="s">
        <v>65</v>
      </c>
      <c r="G313">
        <v>1</v>
      </c>
      <c r="H313" t="s">
        <v>583</v>
      </c>
      <c r="I313" t="s">
        <v>54</v>
      </c>
      <c r="J313" t="s">
        <v>153</v>
      </c>
      <c r="K313" t="s">
        <v>48</v>
      </c>
    </row>
    <row r="314" spans="1:13" x14ac:dyDescent="0.35">
      <c r="A314">
        <v>5490</v>
      </c>
      <c r="B314" t="s">
        <v>74</v>
      </c>
      <c r="C314" t="s">
        <v>584</v>
      </c>
      <c r="D314" t="s">
        <v>34</v>
      </c>
      <c r="E314" t="s">
        <v>26</v>
      </c>
      <c r="F314" t="s">
        <v>167</v>
      </c>
      <c r="G314">
        <v>3</v>
      </c>
      <c r="H314" t="s">
        <v>585</v>
      </c>
      <c r="I314" t="s">
        <v>18</v>
      </c>
      <c r="J314" t="s">
        <v>114</v>
      </c>
      <c r="K314" t="s">
        <v>72</v>
      </c>
      <c r="M314" t="s">
        <v>39</v>
      </c>
    </row>
    <row r="315" spans="1:13" x14ac:dyDescent="0.35">
      <c r="A315">
        <v>5082</v>
      </c>
      <c r="B315" t="s">
        <v>80</v>
      </c>
      <c r="C315" t="s">
        <v>414</v>
      </c>
      <c r="D315" t="s">
        <v>108</v>
      </c>
      <c r="E315" t="s">
        <v>64</v>
      </c>
      <c r="F315" t="s">
        <v>116</v>
      </c>
      <c r="G315">
        <v>4</v>
      </c>
      <c r="H315" t="s">
        <v>586</v>
      </c>
      <c r="I315" t="s">
        <v>19</v>
      </c>
      <c r="J315" t="s">
        <v>78</v>
      </c>
      <c r="K315" t="s">
        <v>21</v>
      </c>
      <c r="M315" t="s">
        <v>39</v>
      </c>
    </row>
    <row r="316" spans="1:13" x14ac:dyDescent="0.35">
      <c r="A316">
        <v>5190</v>
      </c>
      <c r="B316" t="s">
        <v>88</v>
      </c>
      <c r="C316" t="s">
        <v>587</v>
      </c>
      <c r="D316" t="s">
        <v>76</v>
      </c>
      <c r="E316" t="s">
        <v>16</v>
      </c>
      <c r="F316" t="s">
        <v>17</v>
      </c>
      <c r="G316">
        <v>3</v>
      </c>
      <c r="H316" t="s">
        <v>18</v>
      </c>
      <c r="I316" t="s">
        <v>43</v>
      </c>
      <c r="J316" t="s">
        <v>47</v>
      </c>
      <c r="K316" t="s">
        <v>38</v>
      </c>
      <c r="M316" t="s">
        <v>79</v>
      </c>
    </row>
    <row r="317" spans="1:13" x14ac:dyDescent="0.35">
      <c r="A317">
        <v>5037</v>
      </c>
      <c r="B317" t="s">
        <v>55</v>
      </c>
      <c r="C317" t="s">
        <v>588</v>
      </c>
      <c r="D317" t="s">
        <v>90</v>
      </c>
      <c r="E317" t="s">
        <v>26</v>
      </c>
      <c r="F317" t="s">
        <v>27</v>
      </c>
      <c r="H317" t="s">
        <v>589</v>
      </c>
      <c r="I317" t="s">
        <v>71</v>
      </c>
      <c r="J317" t="s">
        <v>87</v>
      </c>
      <c r="K317" t="s">
        <v>38</v>
      </c>
      <c r="M317" t="s">
        <v>79</v>
      </c>
    </row>
    <row r="318" spans="1:13" x14ac:dyDescent="0.35">
      <c r="A318">
        <v>5466</v>
      </c>
      <c r="B318" t="s">
        <v>55</v>
      </c>
      <c r="C318" t="s">
        <v>162</v>
      </c>
      <c r="D318" t="s">
        <v>108</v>
      </c>
      <c r="E318" t="s">
        <v>64</v>
      </c>
      <c r="F318" t="s">
        <v>116</v>
      </c>
      <c r="G318">
        <v>5</v>
      </c>
      <c r="H318" t="s">
        <v>590</v>
      </c>
      <c r="I318" t="s">
        <v>19</v>
      </c>
      <c r="J318" t="s">
        <v>47</v>
      </c>
      <c r="K318" t="s">
        <v>48</v>
      </c>
      <c r="M318" t="s">
        <v>67</v>
      </c>
    </row>
    <row r="319" spans="1:13" x14ac:dyDescent="0.35">
      <c r="A319">
        <v>5497</v>
      </c>
      <c r="B319" t="s">
        <v>68</v>
      </c>
      <c r="C319" t="s">
        <v>591</v>
      </c>
      <c r="D319" t="s">
        <v>76</v>
      </c>
      <c r="E319" t="s">
        <v>16</v>
      </c>
      <c r="F319" t="s">
        <v>170</v>
      </c>
      <c r="H319" t="s">
        <v>592</v>
      </c>
      <c r="I319" t="s">
        <v>19</v>
      </c>
      <c r="J319" t="s">
        <v>60</v>
      </c>
      <c r="K319" t="s">
        <v>48</v>
      </c>
      <c r="M319" t="s">
        <v>22</v>
      </c>
    </row>
    <row r="320" spans="1:13" x14ac:dyDescent="0.35">
      <c r="A320">
        <v>5021</v>
      </c>
      <c r="B320" t="s">
        <v>102</v>
      </c>
      <c r="C320" t="s">
        <v>593</v>
      </c>
      <c r="D320" t="s">
        <v>51</v>
      </c>
      <c r="E320" t="s">
        <v>64</v>
      </c>
      <c r="F320" t="s">
        <v>65</v>
      </c>
      <c r="G320">
        <v>2</v>
      </c>
      <c r="H320" t="s">
        <v>594</v>
      </c>
      <c r="I320" t="s">
        <v>43</v>
      </c>
      <c r="J320" t="s">
        <v>78</v>
      </c>
      <c r="K320" t="s">
        <v>44</v>
      </c>
      <c r="M320" t="s">
        <v>67</v>
      </c>
    </row>
    <row r="321" spans="1:13" x14ac:dyDescent="0.35">
      <c r="A321">
        <v>5454</v>
      </c>
      <c r="B321" t="s">
        <v>23</v>
      </c>
      <c r="C321" t="s">
        <v>595</v>
      </c>
      <c r="D321" t="s">
        <v>86</v>
      </c>
      <c r="E321" t="s">
        <v>64</v>
      </c>
      <c r="F321" t="s">
        <v>77</v>
      </c>
      <c r="G321">
        <v>4</v>
      </c>
      <c r="H321" t="s">
        <v>18</v>
      </c>
      <c r="I321" t="s">
        <v>18</v>
      </c>
      <c r="J321" t="s">
        <v>114</v>
      </c>
      <c r="K321" t="s">
        <v>48</v>
      </c>
      <c r="M321" t="s">
        <v>31</v>
      </c>
    </row>
    <row r="322" spans="1:13" x14ac:dyDescent="0.35">
      <c r="A322">
        <v>5180</v>
      </c>
      <c r="B322" t="s">
        <v>80</v>
      </c>
      <c r="C322" t="s">
        <v>596</v>
      </c>
      <c r="D322" t="s">
        <v>86</v>
      </c>
      <c r="E322" t="s">
        <v>64</v>
      </c>
      <c r="F322" t="s">
        <v>116</v>
      </c>
      <c r="G322">
        <v>3</v>
      </c>
      <c r="H322" t="s">
        <v>597</v>
      </c>
      <c r="J322" t="s">
        <v>78</v>
      </c>
      <c r="K322" t="s">
        <v>48</v>
      </c>
      <c r="M322" t="s">
        <v>79</v>
      </c>
    </row>
    <row r="323" spans="1:13" x14ac:dyDescent="0.35">
      <c r="A323">
        <v>5012</v>
      </c>
      <c r="B323" t="s">
        <v>23</v>
      </c>
      <c r="C323" t="s">
        <v>598</v>
      </c>
      <c r="D323" t="s">
        <v>25</v>
      </c>
      <c r="E323" t="s">
        <v>64</v>
      </c>
      <c r="F323" t="s">
        <v>116</v>
      </c>
      <c r="G323">
        <v>2</v>
      </c>
      <c r="H323" t="s">
        <v>599</v>
      </c>
      <c r="I323" t="s">
        <v>29</v>
      </c>
      <c r="J323" t="s">
        <v>47</v>
      </c>
      <c r="K323" t="s">
        <v>48</v>
      </c>
    </row>
    <row r="324" spans="1:13" x14ac:dyDescent="0.35">
      <c r="A324">
        <v>5283</v>
      </c>
      <c r="B324" t="s">
        <v>40</v>
      </c>
      <c r="C324" t="s">
        <v>600</v>
      </c>
      <c r="D324" t="s">
        <v>25</v>
      </c>
      <c r="E324" t="s">
        <v>26</v>
      </c>
      <c r="F324" t="s">
        <v>112</v>
      </c>
      <c r="G324">
        <v>3</v>
      </c>
      <c r="H324" t="s">
        <v>18</v>
      </c>
      <c r="I324" t="s">
        <v>19</v>
      </c>
      <c r="J324" t="s">
        <v>153</v>
      </c>
      <c r="K324" t="s">
        <v>72</v>
      </c>
      <c r="M324" t="s">
        <v>22</v>
      </c>
    </row>
    <row r="325" spans="1:13" x14ac:dyDescent="0.35">
      <c r="A325">
        <v>5446</v>
      </c>
      <c r="B325" t="s">
        <v>23</v>
      </c>
      <c r="C325" t="s">
        <v>601</v>
      </c>
      <c r="D325" t="s">
        <v>57</v>
      </c>
      <c r="E325" t="s">
        <v>35</v>
      </c>
      <c r="F325" t="s">
        <v>136</v>
      </c>
      <c r="G325">
        <v>3</v>
      </c>
      <c r="H325" t="s">
        <v>18</v>
      </c>
      <c r="I325" t="s">
        <v>43</v>
      </c>
      <c r="J325" t="s">
        <v>153</v>
      </c>
      <c r="K325" t="s">
        <v>44</v>
      </c>
      <c r="M325" t="s">
        <v>79</v>
      </c>
    </row>
    <row r="326" spans="1:13" x14ac:dyDescent="0.35">
      <c r="A326">
        <v>5333</v>
      </c>
      <c r="B326" t="s">
        <v>117</v>
      </c>
      <c r="C326" t="s">
        <v>304</v>
      </c>
      <c r="D326" t="s">
        <v>15</v>
      </c>
      <c r="E326" t="s">
        <v>16</v>
      </c>
      <c r="F326" t="s">
        <v>170</v>
      </c>
      <c r="G326">
        <v>4</v>
      </c>
      <c r="H326" t="s">
        <v>602</v>
      </c>
      <c r="I326" t="s">
        <v>19</v>
      </c>
      <c r="J326" t="s">
        <v>87</v>
      </c>
      <c r="K326" t="s">
        <v>48</v>
      </c>
      <c r="M326" t="s">
        <v>73</v>
      </c>
    </row>
    <row r="327" spans="1:13" x14ac:dyDescent="0.35">
      <c r="A327">
        <v>5379</v>
      </c>
      <c r="B327" t="s">
        <v>129</v>
      </c>
      <c r="C327" t="s">
        <v>603</v>
      </c>
      <c r="D327" t="s">
        <v>90</v>
      </c>
      <c r="E327" t="s">
        <v>35</v>
      </c>
      <c r="F327" t="s">
        <v>155</v>
      </c>
      <c r="G327">
        <v>5</v>
      </c>
      <c r="H327" t="s">
        <v>604</v>
      </c>
      <c r="I327" t="s">
        <v>19</v>
      </c>
      <c r="J327" t="s">
        <v>60</v>
      </c>
      <c r="K327" t="s">
        <v>84</v>
      </c>
      <c r="M327" t="s">
        <v>79</v>
      </c>
    </row>
    <row r="328" spans="1:13" x14ac:dyDescent="0.35">
      <c r="A328">
        <v>5239</v>
      </c>
      <c r="B328" t="s">
        <v>68</v>
      </c>
      <c r="C328" t="s">
        <v>307</v>
      </c>
      <c r="D328" t="s">
        <v>57</v>
      </c>
      <c r="E328" t="s">
        <v>35</v>
      </c>
      <c r="F328" t="s">
        <v>36</v>
      </c>
      <c r="G328">
        <v>3</v>
      </c>
      <c r="H328" t="s">
        <v>18</v>
      </c>
      <c r="J328" t="s">
        <v>30</v>
      </c>
      <c r="K328" t="s">
        <v>61</v>
      </c>
      <c r="M328" t="s">
        <v>22</v>
      </c>
    </row>
    <row r="329" spans="1:13" x14ac:dyDescent="0.35">
      <c r="A329">
        <v>5262</v>
      </c>
      <c r="B329" t="s">
        <v>120</v>
      </c>
      <c r="C329" t="s">
        <v>263</v>
      </c>
      <c r="D329" t="s">
        <v>51</v>
      </c>
      <c r="E329" t="s">
        <v>16</v>
      </c>
      <c r="F329" t="s">
        <v>170</v>
      </c>
      <c r="G329">
        <v>3</v>
      </c>
      <c r="H329" t="s">
        <v>605</v>
      </c>
      <c r="I329" t="s">
        <v>18</v>
      </c>
      <c r="J329" t="s">
        <v>30</v>
      </c>
      <c r="K329" t="s">
        <v>84</v>
      </c>
      <c r="M329" t="s">
        <v>73</v>
      </c>
    </row>
    <row r="330" spans="1:13" x14ac:dyDescent="0.35">
      <c r="A330">
        <v>5291</v>
      </c>
      <c r="B330" t="s">
        <v>102</v>
      </c>
      <c r="C330" t="s">
        <v>189</v>
      </c>
      <c r="D330" t="s">
        <v>15</v>
      </c>
      <c r="E330" t="s">
        <v>16</v>
      </c>
      <c r="F330" t="s">
        <v>42</v>
      </c>
      <c r="G330">
        <v>5</v>
      </c>
      <c r="H330" t="s">
        <v>606</v>
      </c>
      <c r="I330" t="s">
        <v>43</v>
      </c>
      <c r="J330" t="s">
        <v>20</v>
      </c>
      <c r="K330" t="s">
        <v>44</v>
      </c>
      <c r="M330" t="s">
        <v>79</v>
      </c>
    </row>
    <row r="331" spans="1:13" x14ac:dyDescent="0.35">
      <c r="A331">
        <v>5059</v>
      </c>
      <c r="B331" t="s">
        <v>102</v>
      </c>
      <c r="C331" t="s">
        <v>546</v>
      </c>
      <c r="D331" t="s">
        <v>15</v>
      </c>
      <c r="E331" t="s">
        <v>35</v>
      </c>
      <c r="F331" t="s">
        <v>155</v>
      </c>
      <c r="G331">
        <v>2</v>
      </c>
      <c r="H331" t="s">
        <v>607</v>
      </c>
      <c r="I331" t="s">
        <v>18</v>
      </c>
      <c r="J331" t="s">
        <v>47</v>
      </c>
      <c r="K331" t="s">
        <v>72</v>
      </c>
      <c r="M331" t="s">
        <v>39</v>
      </c>
    </row>
    <row r="332" spans="1:13" x14ac:dyDescent="0.35">
      <c r="A332">
        <v>5150</v>
      </c>
      <c r="B332" t="s">
        <v>151</v>
      </c>
      <c r="C332" t="s">
        <v>608</v>
      </c>
      <c r="D332" t="s">
        <v>25</v>
      </c>
      <c r="E332" t="s">
        <v>16</v>
      </c>
      <c r="F332" t="s">
        <v>17</v>
      </c>
      <c r="G332">
        <v>3</v>
      </c>
      <c r="H332" t="s">
        <v>18</v>
      </c>
      <c r="I332" t="s">
        <v>19</v>
      </c>
      <c r="J332" t="s">
        <v>87</v>
      </c>
      <c r="K332" t="s">
        <v>44</v>
      </c>
      <c r="M332" t="s">
        <v>22</v>
      </c>
    </row>
    <row r="333" spans="1:13" x14ac:dyDescent="0.35">
      <c r="A333">
        <v>5159</v>
      </c>
      <c r="B333" t="s">
        <v>40</v>
      </c>
      <c r="C333" t="s">
        <v>609</v>
      </c>
      <c r="D333" t="s">
        <v>51</v>
      </c>
      <c r="E333" t="s">
        <v>26</v>
      </c>
      <c r="F333" t="s">
        <v>52</v>
      </c>
      <c r="H333" t="s">
        <v>610</v>
      </c>
      <c r="I333" t="s">
        <v>18</v>
      </c>
      <c r="J333" t="s">
        <v>153</v>
      </c>
      <c r="K333" t="s">
        <v>72</v>
      </c>
      <c r="M333" t="s">
        <v>67</v>
      </c>
    </row>
    <row r="334" spans="1:13" x14ac:dyDescent="0.35">
      <c r="A334">
        <v>5066</v>
      </c>
      <c r="B334" t="s">
        <v>96</v>
      </c>
      <c r="C334" t="s">
        <v>611</v>
      </c>
      <c r="D334" t="s">
        <v>51</v>
      </c>
      <c r="E334" t="s">
        <v>16</v>
      </c>
      <c r="F334" t="s">
        <v>170</v>
      </c>
      <c r="G334">
        <v>4</v>
      </c>
      <c r="H334" t="s">
        <v>18</v>
      </c>
      <c r="J334" t="s">
        <v>153</v>
      </c>
      <c r="K334" t="s">
        <v>72</v>
      </c>
      <c r="M334" t="s">
        <v>22</v>
      </c>
    </row>
    <row r="335" spans="1:13" x14ac:dyDescent="0.35">
      <c r="A335">
        <v>5242</v>
      </c>
      <c r="B335" t="s">
        <v>13</v>
      </c>
      <c r="C335" t="s">
        <v>612</v>
      </c>
      <c r="D335" t="s">
        <v>57</v>
      </c>
      <c r="E335" t="s">
        <v>64</v>
      </c>
      <c r="F335" t="s">
        <v>65</v>
      </c>
      <c r="H335" t="s">
        <v>613</v>
      </c>
      <c r="J335" t="s">
        <v>47</v>
      </c>
      <c r="K335" t="s">
        <v>48</v>
      </c>
      <c r="M335" t="s">
        <v>22</v>
      </c>
    </row>
    <row r="336" spans="1:13" x14ac:dyDescent="0.35">
      <c r="A336">
        <v>5038</v>
      </c>
      <c r="B336" t="s">
        <v>32</v>
      </c>
      <c r="C336" t="s">
        <v>452</v>
      </c>
      <c r="D336" t="s">
        <v>34</v>
      </c>
      <c r="E336" t="s">
        <v>64</v>
      </c>
      <c r="F336" t="s">
        <v>141</v>
      </c>
      <c r="G336">
        <v>4</v>
      </c>
      <c r="H336" t="s">
        <v>614</v>
      </c>
      <c r="I336" t="s">
        <v>43</v>
      </c>
      <c r="J336" t="s">
        <v>114</v>
      </c>
      <c r="K336" t="s">
        <v>72</v>
      </c>
      <c r="M336" t="s">
        <v>39</v>
      </c>
    </row>
    <row r="337" spans="1:13" x14ac:dyDescent="0.35">
      <c r="A337">
        <v>5404</v>
      </c>
      <c r="B337" t="s">
        <v>129</v>
      </c>
      <c r="C337" t="s">
        <v>312</v>
      </c>
      <c r="D337" t="s">
        <v>57</v>
      </c>
      <c r="E337" t="s">
        <v>26</v>
      </c>
      <c r="F337" t="s">
        <v>167</v>
      </c>
      <c r="H337" t="s">
        <v>18</v>
      </c>
      <c r="I337" t="s">
        <v>29</v>
      </c>
      <c r="J337" t="s">
        <v>87</v>
      </c>
      <c r="K337" t="s">
        <v>72</v>
      </c>
      <c r="M337" t="s">
        <v>22</v>
      </c>
    </row>
    <row r="338" spans="1:13" x14ac:dyDescent="0.35">
      <c r="A338">
        <v>5299</v>
      </c>
      <c r="B338" t="s">
        <v>96</v>
      </c>
      <c r="C338" t="s">
        <v>615</v>
      </c>
      <c r="D338" t="s">
        <v>34</v>
      </c>
      <c r="E338" t="s">
        <v>35</v>
      </c>
      <c r="F338" t="s">
        <v>58</v>
      </c>
      <c r="G338">
        <v>3</v>
      </c>
      <c r="H338" t="s">
        <v>18</v>
      </c>
      <c r="J338" t="s">
        <v>153</v>
      </c>
      <c r="K338" t="s">
        <v>72</v>
      </c>
      <c r="M338" t="s">
        <v>79</v>
      </c>
    </row>
    <row r="339" spans="1:13" x14ac:dyDescent="0.35">
      <c r="A339">
        <v>5268</v>
      </c>
      <c r="B339" t="s">
        <v>62</v>
      </c>
      <c r="C339" t="s">
        <v>616</v>
      </c>
      <c r="D339" t="s">
        <v>51</v>
      </c>
      <c r="E339" t="s">
        <v>64</v>
      </c>
      <c r="F339" t="s">
        <v>141</v>
      </c>
      <c r="G339">
        <v>2</v>
      </c>
      <c r="H339" t="s">
        <v>617</v>
      </c>
      <c r="I339" t="s">
        <v>19</v>
      </c>
      <c r="J339" t="s">
        <v>87</v>
      </c>
      <c r="K339" t="s">
        <v>44</v>
      </c>
      <c r="M339" t="s">
        <v>31</v>
      </c>
    </row>
    <row r="340" spans="1:13" x14ac:dyDescent="0.35">
      <c r="A340">
        <v>5107</v>
      </c>
      <c r="B340" t="s">
        <v>62</v>
      </c>
      <c r="C340" t="s">
        <v>618</v>
      </c>
      <c r="D340" t="s">
        <v>86</v>
      </c>
      <c r="E340" t="s">
        <v>26</v>
      </c>
      <c r="F340" t="s">
        <v>52</v>
      </c>
      <c r="G340">
        <v>3</v>
      </c>
      <c r="H340" t="s">
        <v>619</v>
      </c>
      <c r="I340" t="s">
        <v>29</v>
      </c>
      <c r="J340" t="s">
        <v>30</v>
      </c>
      <c r="K340" t="s">
        <v>61</v>
      </c>
      <c r="M340" t="s">
        <v>67</v>
      </c>
    </row>
    <row r="341" spans="1:13" x14ac:dyDescent="0.35">
      <c r="A341">
        <v>5247</v>
      </c>
      <c r="B341" t="s">
        <v>62</v>
      </c>
      <c r="C341" t="s">
        <v>620</v>
      </c>
      <c r="D341" t="s">
        <v>25</v>
      </c>
      <c r="E341" t="s">
        <v>26</v>
      </c>
      <c r="F341" t="s">
        <v>27</v>
      </c>
      <c r="G341">
        <v>5</v>
      </c>
      <c r="H341" t="s">
        <v>621</v>
      </c>
      <c r="J341" t="s">
        <v>87</v>
      </c>
      <c r="K341" t="s">
        <v>48</v>
      </c>
      <c r="M341" t="s">
        <v>79</v>
      </c>
    </row>
    <row r="342" spans="1:13" x14ac:dyDescent="0.35">
      <c r="A342">
        <v>5220</v>
      </c>
      <c r="B342" t="s">
        <v>102</v>
      </c>
      <c r="C342" t="s">
        <v>522</v>
      </c>
      <c r="D342" t="s">
        <v>108</v>
      </c>
      <c r="E342" t="s">
        <v>16</v>
      </c>
      <c r="F342" t="s">
        <v>82</v>
      </c>
      <c r="G342">
        <v>2</v>
      </c>
      <c r="H342" t="s">
        <v>622</v>
      </c>
      <c r="I342" t="s">
        <v>71</v>
      </c>
      <c r="J342" t="s">
        <v>110</v>
      </c>
      <c r="K342" t="s">
        <v>48</v>
      </c>
      <c r="M342" t="s">
        <v>39</v>
      </c>
    </row>
    <row r="343" spans="1:13" x14ac:dyDescent="0.35">
      <c r="A343">
        <v>5450</v>
      </c>
      <c r="B343" t="s">
        <v>96</v>
      </c>
      <c r="C343" t="s">
        <v>623</v>
      </c>
      <c r="D343" t="s">
        <v>25</v>
      </c>
      <c r="E343" t="s">
        <v>64</v>
      </c>
      <c r="F343" t="s">
        <v>133</v>
      </c>
      <c r="H343" t="s">
        <v>18</v>
      </c>
      <c r="J343" t="s">
        <v>110</v>
      </c>
      <c r="K343" t="s">
        <v>61</v>
      </c>
      <c r="M343" t="s">
        <v>31</v>
      </c>
    </row>
    <row r="344" spans="1:13" x14ac:dyDescent="0.35">
      <c r="A344">
        <v>5025</v>
      </c>
      <c r="B344" t="s">
        <v>62</v>
      </c>
      <c r="C344" t="s">
        <v>624</v>
      </c>
      <c r="D344" t="s">
        <v>108</v>
      </c>
      <c r="E344" t="s">
        <v>16</v>
      </c>
      <c r="F344" t="s">
        <v>42</v>
      </c>
      <c r="G344">
        <v>4</v>
      </c>
      <c r="H344" t="s">
        <v>625</v>
      </c>
      <c r="I344" t="s">
        <v>71</v>
      </c>
      <c r="J344" t="s">
        <v>110</v>
      </c>
      <c r="K344" t="s">
        <v>21</v>
      </c>
      <c r="M344" t="s">
        <v>73</v>
      </c>
    </row>
    <row r="345" spans="1:13" x14ac:dyDescent="0.35">
      <c r="A345">
        <v>5385</v>
      </c>
      <c r="B345" t="s">
        <v>210</v>
      </c>
      <c r="C345" t="s">
        <v>626</v>
      </c>
      <c r="D345" t="s">
        <v>108</v>
      </c>
      <c r="E345" t="s">
        <v>16</v>
      </c>
      <c r="F345" t="s">
        <v>170</v>
      </c>
      <c r="H345" t="s">
        <v>627</v>
      </c>
      <c r="J345" t="s">
        <v>87</v>
      </c>
      <c r="K345" t="s">
        <v>72</v>
      </c>
      <c r="M345" t="s">
        <v>79</v>
      </c>
    </row>
    <row r="346" spans="1:13" x14ac:dyDescent="0.35">
      <c r="A346">
        <v>5401</v>
      </c>
      <c r="B346" t="s">
        <v>102</v>
      </c>
      <c r="C346" t="s">
        <v>628</v>
      </c>
      <c r="D346" t="s">
        <v>51</v>
      </c>
      <c r="E346" t="s">
        <v>26</v>
      </c>
      <c r="F346" t="s">
        <v>112</v>
      </c>
      <c r="G346">
        <v>3</v>
      </c>
      <c r="H346" t="s">
        <v>629</v>
      </c>
      <c r="I346" t="s">
        <v>19</v>
      </c>
      <c r="J346" t="s">
        <v>60</v>
      </c>
      <c r="K346" t="s">
        <v>21</v>
      </c>
      <c r="M346" t="s">
        <v>73</v>
      </c>
    </row>
    <row r="347" spans="1:13" x14ac:dyDescent="0.35">
      <c r="A347">
        <v>5488</v>
      </c>
      <c r="B347" t="s">
        <v>210</v>
      </c>
      <c r="C347" t="s">
        <v>630</v>
      </c>
      <c r="D347" t="s">
        <v>86</v>
      </c>
      <c r="E347" t="s">
        <v>35</v>
      </c>
      <c r="F347" t="s">
        <v>99</v>
      </c>
      <c r="G347">
        <v>4</v>
      </c>
      <c r="H347" t="s">
        <v>631</v>
      </c>
      <c r="I347" t="s">
        <v>43</v>
      </c>
      <c r="J347" t="s">
        <v>30</v>
      </c>
      <c r="K347" t="s">
        <v>84</v>
      </c>
      <c r="M347" t="s">
        <v>31</v>
      </c>
    </row>
    <row r="348" spans="1:13" x14ac:dyDescent="0.35">
      <c r="A348">
        <v>5049</v>
      </c>
      <c r="B348" t="s">
        <v>23</v>
      </c>
      <c r="C348" t="s">
        <v>632</v>
      </c>
      <c r="D348" t="s">
        <v>57</v>
      </c>
      <c r="E348" t="s">
        <v>16</v>
      </c>
      <c r="F348" t="s">
        <v>109</v>
      </c>
      <c r="H348" t="s">
        <v>633</v>
      </c>
      <c r="I348" t="s">
        <v>54</v>
      </c>
      <c r="J348" t="s">
        <v>60</v>
      </c>
      <c r="K348" t="s">
        <v>84</v>
      </c>
      <c r="M348" t="s">
        <v>67</v>
      </c>
    </row>
    <row r="349" spans="1:13" x14ac:dyDescent="0.35">
      <c r="A349">
        <v>5044</v>
      </c>
      <c r="B349" t="s">
        <v>100</v>
      </c>
      <c r="C349" t="s">
        <v>634</v>
      </c>
      <c r="D349" t="s">
        <v>25</v>
      </c>
      <c r="E349" t="s">
        <v>26</v>
      </c>
      <c r="F349" t="s">
        <v>112</v>
      </c>
      <c r="G349">
        <v>4</v>
      </c>
      <c r="H349" t="s">
        <v>635</v>
      </c>
      <c r="I349" t="s">
        <v>54</v>
      </c>
      <c r="J349" t="s">
        <v>110</v>
      </c>
      <c r="K349" t="s">
        <v>21</v>
      </c>
      <c r="M349" t="s">
        <v>39</v>
      </c>
    </row>
    <row r="350" spans="1:13" x14ac:dyDescent="0.35">
      <c r="A350">
        <v>5055</v>
      </c>
      <c r="B350" t="s">
        <v>74</v>
      </c>
      <c r="C350" t="s">
        <v>636</v>
      </c>
      <c r="D350" t="s">
        <v>57</v>
      </c>
      <c r="E350" t="s">
        <v>35</v>
      </c>
      <c r="F350" t="s">
        <v>58</v>
      </c>
      <c r="H350" t="s">
        <v>637</v>
      </c>
      <c r="I350" t="s">
        <v>54</v>
      </c>
      <c r="J350" t="s">
        <v>60</v>
      </c>
      <c r="K350" t="s">
        <v>38</v>
      </c>
      <c r="M350" t="s">
        <v>39</v>
      </c>
    </row>
    <row r="351" spans="1:13" x14ac:dyDescent="0.35">
      <c r="A351">
        <v>5157</v>
      </c>
      <c r="B351" t="s">
        <v>13</v>
      </c>
      <c r="C351" t="s">
        <v>638</v>
      </c>
      <c r="D351" t="s">
        <v>34</v>
      </c>
      <c r="E351" t="s">
        <v>26</v>
      </c>
      <c r="F351" t="s">
        <v>112</v>
      </c>
      <c r="G351">
        <v>1</v>
      </c>
      <c r="H351" t="s">
        <v>639</v>
      </c>
      <c r="I351" t="s">
        <v>71</v>
      </c>
      <c r="J351" t="s">
        <v>20</v>
      </c>
      <c r="K351" t="s">
        <v>44</v>
      </c>
      <c r="M351" t="s">
        <v>67</v>
      </c>
    </row>
    <row r="352" spans="1:13" x14ac:dyDescent="0.35">
      <c r="A352">
        <v>5326</v>
      </c>
      <c r="B352" t="s">
        <v>210</v>
      </c>
      <c r="C352" t="s">
        <v>640</v>
      </c>
      <c r="D352" t="s">
        <v>25</v>
      </c>
      <c r="E352" t="s">
        <v>26</v>
      </c>
      <c r="F352" t="s">
        <v>112</v>
      </c>
      <c r="G352">
        <v>4</v>
      </c>
      <c r="H352" t="s">
        <v>18</v>
      </c>
      <c r="J352" t="s">
        <v>87</v>
      </c>
      <c r="K352" t="s">
        <v>21</v>
      </c>
      <c r="M352" t="s">
        <v>39</v>
      </c>
    </row>
    <row r="353" spans="1:13" x14ac:dyDescent="0.35">
      <c r="A353">
        <v>5137</v>
      </c>
      <c r="B353" t="s">
        <v>210</v>
      </c>
      <c r="C353" t="s">
        <v>407</v>
      </c>
      <c r="D353" t="s">
        <v>76</v>
      </c>
      <c r="E353" t="s">
        <v>26</v>
      </c>
      <c r="F353" t="s">
        <v>27</v>
      </c>
      <c r="G353">
        <v>1</v>
      </c>
      <c r="H353" t="s">
        <v>641</v>
      </c>
      <c r="I353" t="s">
        <v>43</v>
      </c>
      <c r="J353" t="s">
        <v>87</v>
      </c>
      <c r="K353" t="s">
        <v>21</v>
      </c>
      <c r="M353" t="s">
        <v>79</v>
      </c>
    </row>
    <row r="354" spans="1:13" x14ac:dyDescent="0.35">
      <c r="A354">
        <v>5031</v>
      </c>
      <c r="B354" t="s">
        <v>74</v>
      </c>
      <c r="C354" t="s">
        <v>33</v>
      </c>
      <c r="D354" t="s">
        <v>57</v>
      </c>
      <c r="E354" t="s">
        <v>64</v>
      </c>
      <c r="F354" t="s">
        <v>77</v>
      </c>
      <c r="H354" t="s">
        <v>18</v>
      </c>
      <c r="I354" t="s">
        <v>29</v>
      </c>
      <c r="J354" t="s">
        <v>110</v>
      </c>
      <c r="K354" t="s">
        <v>44</v>
      </c>
      <c r="M354" t="s">
        <v>31</v>
      </c>
    </row>
    <row r="355" spans="1:13" x14ac:dyDescent="0.35">
      <c r="A355">
        <v>5245</v>
      </c>
      <c r="B355" t="s">
        <v>102</v>
      </c>
      <c r="C355" t="s">
        <v>642</v>
      </c>
      <c r="D355" t="s">
        <v>348</v>
      </c>
      <c r="E355" t="s">
        <v>35</v>
      </c>
      <c r="F355" t="s">
        <v>99</v>
      </c>
      <c r="G355">
        <v>1</v>
      </c>
      <c r="H355" t="s">
        <v>643</v>
      </c>
      <c r="I355" t="s">
        <v>71</v>
      </c>
      <c r="J355" t="s">
        <v>110</v>
      </c>
      <c r="K355" t="s">
        <v>72</v>
      </c>
      <c r="M355" t="s">
        <v>22</v>
      </c>
    </row>
    <row r="356" spans="1:13" x14ac:dyDescent="0.35">
      <c r="A356">
        <v>5139</v>
      </c>
      <c r="B356" t="s">
        <v>74</v>
      </c>
      <c r="C356" t="s">
        <v>618</v>
      </c>
      <c r="D356" t="s">
        <v>108</v>
      </c>
      <c r="E356" t="s">
        <v>26</v>
      </c>
      <c r="F356" t="s">
        <v>46</v>
      </c>
      <c r="G356">
        <v>3</v>
      </c>
      <c r="H356" t="s">
        <v>18</v>
      </c>
      <c r="I356" t="s">
        <v>29</v>
      </c>
      <c r="J356" t="s">
        <v>87</v>
      </c>
      <c r="K356" t="s">
        <v>38</v>
      </c>
    </row>
    <row r="357" spans="1:13" x14ac:dyDescent="0.35">
      <c r="A357">
        <v>5035</v>
      </c>
      <c r="B357" t="s">
        <v>151</v>
      </c>
      <c r="C357" t="s">
        <v>634</v>
      </c>
      <c r="D357" t="s">
        <v>34</v>
      </c>
      <c r="E357" t="s">
        <v>26</v>
      </c>
      <c r="F357" t="s">
        <v>27</v>
      </c>
      <c r="G357">
        <v>1</v>
      </c>
      <c r="H357" t="s">
        <v>644</v>
      </c>
      <c r="I357" t="s">
        <v>71</v>
      </c>
      <c r="J357" t="s">
        <v>78</v>
      </c>
      <c r="K357" t="s">
        <v>38</v>
      </c>
      <c r="M357" t="s">
        <v>79</v>
      </c>
    </row>
    <row r="358" spans="1:13" x14ac:dyDescent="0.35">
      <c r="A358">
        <v>5195</v>
      </c>
      <c r="B358" t="s">
        <v>88</v>
      </c>
      <c r="C358" t="s">
        <v>310</v>
      </c>
      <c r="D358" t="s">
        <v>15</v>
      </c>
      <c r="E358" t="s">
        <v>16</v>
      </c>
      <c r="F358" t="s">
        <v>170</v>
      </c>
      <c r="G358">
        <v>4</v>
      </c>
      <c r="H358" t="s">
        <v>645</v>
      </c>
      <c r="I358" t="s">
        <v>54</v>
      </c>
      <c r="J358" t="s">
        <v>47</v>
      </c>
      <c r="K358" t="s">
        <v>21</v>
      </c>
      <c r="M358" t="s">
        <v>31</v>
      </c>
    </row>
    <row r="359" spans="1:13" x14ac:dyDescent="0.35">
      <c r="A359">
        <v>5397</v>
      </c>
      <c r="B359" t="s">
        <v>126</v>
      </c>
      <c r="C359" t="s">
        <v>646</v>
      </c>
      <c r="D359" t="s">
        <v>51</v>
      </c>
      <c r="E359" t="s">
        <v>26</v>
      </c>
      <c r="F359" t="s">
        <v>46</v>
      </c>
      <c r="G359">
        <v>5</v>
      </c>
      <c r="H359" t="s">
        <v>647</v>
      </c>
      <c r="I359" t="s">
        <v>54</v>
      </c>
      <c r="J359" t="s">
        <v>87</v>
      </c>
      <c r="K359" t="s">
        <v>21</v>
      </c>
      <c r="M359" t="s">
        <v>67</v>
      </c>
    </row>
    <row r="360" spans="1:13" x14ac:dyDescent="0.35">
      <c r="A360">
        <v>5187</v>
      </c>
      <c r="B360" t="s">
        <v>13</v>
      </c>
      <c r="C360" t="s">
        <v>145</v>
      </c>
      <c r="D360" t="s">
        <v>108</v>
      </c>
      <c r="E360" t="s">
        <v>16</v>
      </c>
      <c r="F360" t="s">
        <v>42</v>
      </c>
      <c r="G360">
        <v>5</v>
      </c>
      <c r="H360" t="s">
        <v>371</v>
      </c>
      <c r="I360" t="s">
        <v>19</v>
      </c>
      <c r="J360" t="s">
        <v>110</v>
      </c>
      <c r="K360" t="s">
        <v>48</v>
      </c>
      <c r="M360" t="s">
        <v>79</v>
      </c>
    </row>
    <row r="361" spans="1:13" x14ac:dyDescent="0.35">
      <c r="A361">
        <v>5248</v>
      </c>
      <c r="B361" t="s">
        <v>74</v>
      </c>
      <c r="C361" t="s">
        <v>508</v>
      </c>
      <c r="D361" t="s">
        <v>108</v>
      </c>
      <c r="E361" t="s">
        <v>35</v>
      </c>
      <c r="F361" t="s">
        <v>36</v>
      </c>
      <c r="G361">
        <v>1</v>
      </c>
      <c r="H361" t="s">
        <v>648</v>
      </c>
      <c r="I361" t="s">
        <v>71</v>
      </c>
      <c r="J361" t="s">
        <v>110</v>
      </c>
      <c r="K361" t="s">
        <v>38</v>
      </c>
      <c r="M361" t="s">
        <v>22</v>
      </c>
    </row>
    <row r="362" spans="1:13" x14ac:dyDescent="0.35">
      <c r="A362">
        <v>5152</v>
      </c>
      <c r="B362" t="s">
        <v>74</v>
      </c>
      <c r="C362" t="s">
        <v>649</v>
      </c>
      <c r="D362" t="s">
        <v>108</v>
      </c>
      <c r="E362" t="s">
        <v>35</v>
      </c>
      <c r="F362" t="s">
        <v>58</v>
      </c>
      <c r="H362" t="s">
        <v>650</v>
      </c>
      <c r="I362" t="s">
        <v>18</v>
      </c>
      <c r="J362" t="s">
        <v>78</v>
      </c>
      <c r="K362" t="s">
        <v>48</v>
      </c>
      <c r="M362" t="s">
        <v>79</v>
      </c>
    </row>
    <row r="363" spans="1:13" x14ac:dyDescent="0.35">
      <c r="A363">
        <v>5081</v>
      </c>
      <c r="B363" t="s">
        <v>88</v>
      </c>
      <c r="C363" t="s">
        <v>651</v>
      </c>
      <c r="D363" t="s">
        <v>34</v>
      </c>
      <c r="E363" t="s">
        <v>26</v>
      </c>
      <c r="F363" t="s">
        <v>167</v>
      </c>
      <c r="H363" t="s">
        <v>18</v>
      </c>
      <c r="I363" t="s">
        <v>19</v>
      </c>
      <c r="J363" t="s">
        <v>20</v>
      </c>
      <c r="K363" t="s">
        <v>61</v>
      </c>
      <c r="M363" t="s">
        <v>79</v>
      </c>
    </row>
    <row r="364" spans="1:13" x14ac:dyDescent="0.35">
      <c r="A364">
        <v>5460</v>
      </c>
      <c r="B364" t="s">
        <v>102</v>
      </c>
      <c r="C364" t="s">
        <v>652</v>
      </c>
      <c r="D364" t="s">
        <v>86</v>
      </c>
      <c r="E364" t="s">
        <v>26</v>
      </c>
      <c r="F364" t="s">
        <v>167</v>
      </c>
      <c r="G364">
        <v>3</v>
      </c>
      <c r="H364" t="s">
        <v>653</v>
      </c>
      <c r="I364" t="s">
        <v>71</v>
      </c>
      <c r="J364" t="s">
        <v>153</v>
      </c>
      <c r="K364" t="s">
        <v>38</v>
      </c>
      <c r="M364" t="s">
        <v>67</v>
      </c>
    </row>
    <row r="365" spans="1:13" x14ac:dyDescent="0.35">
      <c r="A365">
        <v>5117</v>
      </c>
      <c r="B365" t="s">
        <v>62</v>
      </c>
      <c r="C365" t="s">
        <v>654</v>
      </c>
      <c r="D365" t="s">
        <v>86</v>
      </c>
      <c r="E365" t="s">
        <v>16</v>
      </c>
      <c r="F365" t="s">
        <v>82</v>
      </c>
      <c r="G365">
        <v>4</v>
      </c>
      <c r="H365" t="s">
        <v>655</v>
      </c>
      <c r="I365" t="s">
        <v>29</v>
      </c>
      <c r="J365" t="s">
        <v>47</v>
      </c>
      <c r="K365" t="s">
        <v>44</v>
      </c>
      <c r="M365" t="s">
        <v>39</v>
      </c>
    </row>
    <row r="366" spans="1:13" x14ac:dyDescent="0.35">
      <c r="A366">
        <v>5378</v>
      </c>
      <c r="B366" t="s">
        <v>129</v>
      </c>
      <c r="C366" t="s">
        <v>656</v>
      </c>
      <c r="D366" t="s">
        <v>108</v>
      </c>
      <c r="E366" t="s">
        <v>64</v>
      </c>
      <c r="F366" t="s">
        <v>116</v>
      </c>
      <c r="G366">
        <v>1</v>
      </c>
      <c r="H366" t="s">
        <v>18</v>
      </c>
      <c r="I366" t="s">
        <v>19</v>
      </c>
      <c r="J366" t="s">
        <v>110</v>
      </c>
      <c r="K366" t="s">
        <v>21</v>
      </c>
    </row>
    <row r="367" spans="1:13" x14ac:dyDescent="0.35">
      <c r="A367">
        <v>5366</v>
      </c>
      <c r="B367" t="s">
        <v>100</v>
      </c>
      <c r="C367" t="s">
        <v>657</v>
      </c>
      <c r="D367" t="s">
        <v>86</v>
      </c>
      <c r="E367" t="s">
        <v>64</v>
      </c>
      <c r="F367" t="s">
        <v>77</v>
      </c>
      <c r="G367">
        <v>3</v>
      </c>
      <c r="H367" t="s">
        <v>658</v>
      </c>
      <c r="I367" t="s">
        <v>29</v>
      </c>
      <c r="J367" t="s">
        <v>153</v>
      </c>
      <c r="K367" t="s">
        <v>61</v>
      </c>
      <c r="M367" t="s">
        <v>67</v>
      </c>
    </row>
    <row r="368" spans="1:13" x14ac:dyDescent="0.35">
      <c r="A368">
        <v>5158</v>
      </c>
      <c r="B368" t="s">
        <v>120</v>
      </c>
      <c r="C368" t="s">
        <v>659</v>
      </c>
      <c r="D368" t="s">
        <v>25</v>
      </c>
      <c r="E368" t="s">
        <v>26</v>
      </c>
      <c r="F368" t="s">
        <v>27</v>
      </c>
      <c r="G368">
        <v>5</v>
      </c>
      <c r="H368" t="s">
        <v>660</v>
      </c>
      <c r="I368" t="s">
        <v>19</v>
      </c>
      <c r="J368" t="s">
        <v>60</v>
      </c>
      <c r="K368" t="s">
        <v>84</v>
      </c>
      <c r="M368" t="s">
        <v>79</v>
      </c>
    </row>
    <row r="369" spans="1:13" x14ac:dyDescent="0.35">
      <c r="A369">
        <v>5484</v>
      </c>
      <c r="B369" t="s">
        <v>151</v>
      </c>
      <c r="C369" t="s">
        <v>661</v>
      </c>
      <c r="D369" t="s">
        <v>57</v>
      </c>
      <c r="E369" t="s">
        <v>64</v>
      </c>
      <c r="F369" t="s">
        <v>77</v>
      </c>
      <c r="G369">
        <v>1</v>
      </c>
      <c r="H369" t="s">
        <v>662</v>
      </c>
      <c r="I369" t="s">
        <v>29</v>
      </c>
      <c r="J369" t="s">
        <v>78</v>
      </c>
      <c r="K369" t="s">
        <v>44</v>
      </c>
      <c r="M369" t="s">
        <v>31</v>
      </c>
    </row>
    <row r="370" spans="1:13" x14ac:dyDescent="0.35">
      <c r="A370">
        <v>5142</v>
      </c>
      <c r="B370" t="s">
        <v>23</v>
      </c>
      <c r="C370" t="s">
        <v>663</v>
      </c>
      <c r="D370" t="s">
        <v>57</v>
      </c>
      <c r="E370" t="s">
        <v>64</v>
      </c>
      <c r="F370" t="s">
        <v>116</v>
      </c>
      <c r="G370">
        <v>5</v>
      </c>
      <c r="H370" t="s">
        <v>664</v>
      </c>
      <c r="I370" t="s">
        <v>43</v>
      </c>
      <c r="J370" t="s">
        <v>78</v>
      </c>
      <c r="K370" t="s">
        <v>84</v>
      </c>
      <c r="M370" t="s">
        <v>22</v>
      </c>
    </row>
    <row r="371" spans="1:13" x14ac:dyDescent="0.35">
      <c r="A371">
        <v>5289</v>
      </c>
      <c r="B371" t="s">
        <v>88</v>
      </c>
      <c r="C371" t="s">
        <v>665</v>
      </c>
      <c r="D371" t="s">
        <v>86</v>
      </c>
      <c r="E371" t="s">
        <v>16</v>
      </c>
      <c r="F371" t="s">
        <v>17</v>
      </c>
      <c r="G371">
        <v>3</v>
      </c>
      <c r="H371" t="s">
        <v>666</v>
      </c>
      <c r="I371" t="s">
        <v>29</v>
      </c>
      <c r="J371" t="s">
        <v>20</v>
      </c>
      <c r="K371" t="s">
        <v>38</v>
      </c>
      <c r="M371" t="s">
        <v>73</v>
      </c>
    </row>
    <row r="372" spans="1:13" x14ac:dyDescent="0.35">
      <c r="A372">
        <v>5350</v>
      </c>
      <c r="B372" t="s">
        <v>62</v>
      </c>
      <c r="C372" t="s">
        <v>63</v>
      </c>
      <c r="D372" t="s">
        <v>15</v>
      </c>
      <c r="E372" t="s">
        <v>64</v>
      </c>
      <c r="F372" t="s">
        <v>65</v>
      </c>
      <c r="G372">
        <v>5</v>
      </c>
      <c r="H372" t="s">
        <v>66</v>
      </c>
      <c r="I372" t="s">
        <v>19</v>
      </c>
      <c r="J372" t="s">
        <v>30</v>
      </c>
      <c r="K372" t="s">
        <v>44</v>
      </c>
      <c r="M372" t="s">
        <v>67</v>
      </c>
    </row>
    <row r="373" spans="1:13" x14ac:dyDescent="0.35">
      <c r="A373">
        <v>5114</v>
      </c>
      <c r="B373" t="s">
        <v>120</v>
      </c>
      <c r="C373" t="s">
        <v>667</v>
      </c>
      <c r="D373" t="s">
        <v>15</v>
      </c>
      <c r="E373" t="s">
        <v>26</v>
      </c>
      <c r="F373" t="s">
        <v>112</v>
      </c>
      <c r="G373">
        <v>2</v>
      </c>
      <c r="H373" t="s">
        <v>668</v>
      </c>
      <c r="J373" t="s">
        <v>30</v>
      </c>
      <c r="K373" t="s">
        <v>61</v>
      </c>
      <c r="M373" t="s">
        <v>67</v>
      </c>
    </row>
    <row r="374" spans="1:13" x14ac:dyDescent="0.35">
      <c r="A374">
        <v>5399</v>
      </c>
      <c r="B374" t="s">
        <v>13</v>
      </c>
      <c r="C374" t="s">
        <v>669</v>
      </c>
      <c r="D374" t="s">
        <v>34</v>
      </c>
      <c r="E374" t="s">
        <v>64</v>
      </c>
      <c r="F374" t="s">
        <v>133</v>
      </c>
      <c r="G374">
        <v>4</v>
      </c>
      <c r="H374" t="s">
        <v>670</v>
      </c>
      <c r="I374" t="s">
        <v>43</v>
      </c>
      <c r="J374" t="s">
        <v>110</v>
      </c>
      <c r="K374" t="s">
        <v>21</v>
      </c>
      <c r="M374" t="s">
        <v>67</v>
      </c>
    </row>
    <row r="375" spans="1:13" x14ac:dyDescent="0.35">
      <c r="A375">
        <v>5154</v>
      </c>
      <c r="B375" t="s">
        <v>120</v>
      </c>
      <c r="C375" t="s">
        <v>671</v>
      </c>
      <c r="D375" t="s">
        <v>25</v>
      </c>
      <c r="E375" t="s">
        <v>16</v>
      </c>
      <c r="F375" t="s">
        <v>82</v>
      </c>
      <c r="G375">
        <v>5</v>
      </c>
      <c r="H375" t="s">
        <v>672</v>
      </c>
      <c r="I375" t="s">
        <v>71</v>
      </c>
      <c r="J375" t="s">
        <v>47</v>
      </c>
      <c r="K375" t="s">
        <v>61</v>
      </c>
      <c r="M375" t="s">
        <v>73</v>
      </c>
    </row>
    <row r="376" spans="1:13" x14ac:dyDescent="0.35">
      <c r="A376">
        <v>5340</v>
      </c>
      <c r="B376" t="s">
        <v>102</v>
      </c>
      <c r="C376" t="s">
        <v>673</v>
      </c>
      <c r="D376" t="s">
        <v>108</v>
      </c>
      <c r="E376" t="s">
        <v>64</v>
      </c>
      <c r="F376" t="s">
        <v>65</v>
      </c>
      <c r="G376">
        <v>4</v>
      </c>
      <c r="H376" t="s">
        <v>674</v>
      </c>
      <c r="I376" t="s">
        <v>18</v>
      </c>
      <c r="J376" t="s">
        <v>78</v>
      </c>
      <c r="K376" t="s">
        <v>44</v>
      </c>
      <c r="M376" t="s">
        <v>73</v>
      </c>
    </row>
    <row r="377" spans="1:13" x14ac:dyDescent="0.35">
      <c r="A377">
        <v>5131</v>
      </c>
      <c r="B377" t="s">
        <v>55</v>
      </c>
      <c r="C377" t="s">
        <v>675</v>
      </c>
      <c r="D377" t="s">
        <v>76</v>
      </c>
      <c r="E377" t="s">
        <v>26</v>
      </c>
      <c r="F377" t="s">
        <v>167</v>
      </c>
      <c r="G377">
        <v>3</v>
      </c>
      <c r="H377" t="s">
        <v>18</v>
      </c>
      <c r="J377" t="s">
        <v>87</v>
      </c>
      <c r="K377" t="s">
        <v>72</v>
      </c>
      <c r="M377" t="s">
        <v>22</v>
      </c>
    </row>
    <row r="378" spans="1:13" x14ac:dyDescent="0.35">
      <c r="A378">
        <v>5405</v>
      </c>
      <c r="B378" t="s">
        <v>62</v>
      </c>
      <c r="C378" t="s">
        <v>342</v>
      </c>
      <c r="D378" t="s">
        <v>34</v>
      </c>
      <c r="E378" t="s">
        <v>16</v>
      </c>
      <c r="F378" t="s">
        <v>109</v>
      </c>
      <c r="G378">
        <v>4</v>
      </c>
      <c r="H378" t="s">
        <v>18</v>
      </c>
      <c r="I378" t="s">
        <v>19</v>
      </c>
      <c r="J378" t="s">
        <v>60</v>
      </c>
      <c r="K378" t="s">
        <v>48</v>
      </c>
      <c r="M378" t="s">
        <v>39</v>
      </c>
    </row>
    <row r="379" spans="1:13" x14ac:dyDescent="0.35">
      <c r="A379">
        <v>5382</v>
      </c>
      <c r="B379" t="s">
        <v>93</v>
      </c>
      <c r="C379" t="s">
        <v>397</v>
      </c>
      <c r="D379" t="s">
        <v>34</v>
      </c>
      <c r="E379" t="s">
        <v>64</v>
      </c>
      <c r="F379" t="s">
        <v>65</v>
      </c>
      <c r="G379">
        <v>5</v>
      </c>
      <c r="H379" t="s">
        <v>676</v>
      </c>
      <c r="I379" t="s">
        <v>43</v>
      </c>
      <c r="J379" t="s">
        <v>78</v>
      </c>
      <c r="K379" t="s">
        <v>61</v>
      </c>
    </row>
    <row r="380" spans="1:13" x14ac:dyDescent="0.35">
      <c r="A380">
        <v>5253</v>
      </c>
      <c r="B380" t="s">
        <v>68</v>
      </c>
      <c r="C380" t="s">
        <v>677</v>
      </c>
      <c r="D380" t="s">
        <v>86</v>
      </c>
      <c r="E380" t="s">
        <v>16</v>
      </c>
      <c r="F380" t="s">
        <v>109</v>
      </c>
      <c r="G380">
        <v>3</v>
      </c>
      <c r="H380" t="s">
        <v>678</v>
      </c>
      <c r="I380" t="s">
        <v>54</v>
      </c>
      <c r="J380" t="s">
        <v>78</v>
      </c>
      <c r="K380" t="s">
        <v>84</v>
      </c>
      <c r="M380" t="s">
        <v>31</v>
      </c>
    </row>
    <row r="381" spans="1:13" x14ac:dyDescent="0.35">
      <c r="A381">
        <v>5420</v>
      </c>
      <c r="B381" t="s">
        <v>102</v>
      </c>
      <c r="C381" t="s">
        <v>130</v>
      </c>
      <c r="D381" t="s">
        <v>15</v>
      </c>
      <c r="E381" t="s">
        <v>16</v>
      </c>
      <c r="F381" t="s">
        <v>82</v>
      </c>
      <c r="G381">
        <v>3</v>
      </c>
      <c r="H381" t="s">
        <v>18</v>
      </c>
      <c r="I381" t="s">
        <v>19</v>
      </c>
      <c r="J381" t="s">
        <v>87</v>
      </c>
      <c r="K381" t="s">
        <v>48</v>
      </c>
      <c r="M381" t="s">
        <v>31</v>
      </c>
    </row>
    <row r="382" spans="1:13" x14ac:dyDescent="0.35">
      <c r="A382">
        <v>5374</v>
      </c>
      <c r="B382" t="s">
        <v>32</v>
      </c>
      <c r="C382" t="s">
        <v>679</v>
      </c>
      <c r="D382" t="s">
        <v>76</v>
      </c>
      <c r="E382" t="s">
        <v>64</v>
      </c>
      <c r="F382" t="s">
        <v>133</v>
      </c>
      <c r="H382" t="s">
        <v>680</v>
      </c>
      <c r="I382" t="s">
        <v>71</v>
      </c>
      <c r="J382" t="s">
        <v>153</v>
      </c>
      <c r="K382" t="s">
        <v>38</v>
      </c>
      <c r="M382" t="s">
        <v>67</v>
      </c>
    </row>
    <row r="383" spans="1:13" x14ac:dyDescent="0.35">
      <c r="A383">
        <v>5277</v>
      </c>
      <c r="B383" t="s">
        <v>88</v>
      </c>
      <c r="C383" t="s">
        <v>681</v>
      </c>
      <c r="D383" t="s">
        <v>34</v>
      </c>
      <c r="E383" t="s">
        <v>26</v>
      </c>
      <c r="F383" t="s">
        <v>27</v>
      </c>
      <c r="H383" t="s">
        <v>682</v>
      </c>
      <c r="I383" t="s">
        <v>19</v>
      </c>
      <c r="J383" t="s">
        <v>60</v>
      </c>
      <c r="K383" t="s">
        <v>44</v>
      </c>
      <c r="M383" t="s">
        <v>73</v>
      </c>
    </row>
    <row r="384" spans="1:13" x14ac:dyDescent="0.35">
      <c r="A384">
        <v>5089</v>
      </c>
      <c r="B384" t="s">
        <v>96</v>
      </c>
      <c r="C384" t="s">
        <v>582</v>
      </c>
      <c r="D384" t="s">
        <v>98</v>
      </c>
      <c r="E384" t="s">
        <v>26</v>
      </c>
      <c r="F384" t="s">
        <v>167</v>
      </c>
      <c r="G384">
        <v>4</v>
      </c>
      <c r="H384" t="s">
        <v>18</v>
      </c>
      <c r="J384" t="s">
        <v>47</v>
      </c>
      <c r="K384" t="s">
        <v>21</v>
      </c>
      <c r="M384" t="s">
        <v>67</v>
      </c>
    </row>
    <row r="385" spans="1:13" x14ac:dyDescent="0.35">
      <c r="A385">
        <v>5417</v>
      </c>
      <c r="B385" t="s">
        <v>80</v>
      </c>
      <c r="C385" t="s">
        <v>683</v>
      </c>
      <c r="D385" t="s">
        <v>51</v>
      </c>
      <c r="E385" t="s">
        <v>26</v>
      </c>
      <c r="F385" t="s">
        <v>112</v>
      </c>
      <c r="G385">
        <v>2</v>
      </c>
      <c r="H385" t="s">
        <v>684</v>
      </c>
      <c r="I385" t="s">
        <v>29</v>
      </c>
      <c r="J385" t="s">
        <v>47</v>
      </c>
      <c r="K385" t="s">
        <v>61</v>
      </c>
      <c r="M385" t="s">
        <v>22</v>
      </c>
    </row>
    <row r="386" spans="1:13" x14ac:dyDescent="0.35">
      <c r="A386">
        <v>5472</v>
      </c>
      <c r="B386" t="s">
        <v>93</v>
      </c>
      <c r="C386" t="s">
        <v>288</v>
      </c>
      <c r="D386" t="s">
        <v>57</v>
      </c>
      <c r="E386" t="s">
        <v>35</v>
      </c>
      <c r="F386" t="s">
        <v>155</v>
      </c>
      <c r="G386">
        <v>5</v>
      </c>
      <c r="H386" t="s">
        <v>18</v>
      </c>
      <c r="I386" t="s">
        <v>29</v>
      </c>
      <c r="J386" t="s">
        <v>153</v>
      </c>
      <c r="K386" t="s">
        <v>48</v>
      </c>
    </row>
    <row r="387" spans="1:13" x14ac:dyDescent="0.35">
      <c r="A387">
        <v>5042</v>
      </c>
      <c r="B387" t="s">
        <v>32</v>
      </c>
      <c r="C387" t="s">
        <v>685</v>
      </c>
      <c r="D387" t="s">
        <v>15</v>
      </c>
      <c r="E387" t="s">
        <v>16</v>
      </c>
      <c r="F387" t="s">
        <v>42</v>
      </c>
      <c r="G387">
        <v>3</v>
      </c>
      <c r="H387" t="s">
        <v>686</v>
      </c>
      <c r="I387" t="s">
        <v>29</v>
      </c>
      <c r="J387" t="s">
        <v>60</v>
      </c>
      <c r="K387" t="s">
        <v>84</v>
      </c>
      <c r="M387" t="s">
        <v>22</v>
      </c>
    </row>
    <row r="388" spans="1:13" x14ac:dyDescent="0.35">
      <c r="A388">
        <v>5252</v>
      </c>
      <c r="B388" t="s">
        <v>129</v>
      </c>
      <c r="C388" t="s">
        <v>687</v>
      </c>
      <c r="D388" t="s">
        <v>25</v>
      </c>
      <c r="E388" t="s">
        <v>35</v>
      </c>
      <c r="F388" t="s">
        <v>136</v>
      </c>
      <c r="G388">
        <v>1</v>
      </c>
      <c r="H388" t="s">
        <v>688</v>
      </c>
      <c r="I388" t="s">
        <v>43</v>
      </c>
      <c r="J388" t="s">
        <v>20</v>
      </c>
      <c r="K388" t="s">
        <v>44</v>
      </c>
      <c r="M388" t="s">
        <v>31</v>
      </c>
    </row>
    <row r="389" spans="1:13" x14ac:dyDescent="0.35">
      <c r="A389">
        <v>5185</v>
      </c>
      <c r="B389" t="s">
        <v>102</v>
      </c>
      <c r="C389" t="s">
        <v>689</v>
      </c>
      <c r="D389" t="s">
        <v>57</v>
      </c>
      <c r="E389" t="s">
        <v>16</v>
      </c>
      <c r="F389" t="s">
        <v>170</v>
      </c>
      <c r="G389">
        <v>3</v>
      </c>
      <c r="H389" t="s">
        <v>18</v>
      </c>
      <c r="I389" t="s">
        <v>19</v>
      </c>
      <c r="J389" t="s">
        <v>78</v>
      </c>
      <c r="K389" t="s">
        <v>72</v>
      </c>
      <c r="M389" t="s">
        <v>39</v>
      </c>
    </row>
    <row r="390" spans="1:13" x14ac:dyDescent="0.35">
      <c r="A390">
        <v>5194</v>
      </c>
      <c r="B390" t="s">
        <v>55</v>
      </c>
      <c r="C390" t="s">
        <v>690</v>
      </c>
      <c r="D390" t="s">
        <v>15</v>
      </c>
      <c r="E390" t="s">
        <v>26</v>
      </c>
      <c r="F390" t="s">
        <v>46</v>
      </c>
      <c r="G390">
        <v>1</v>
      </c>
      <c r="H390" t="s">
        <v>691</v>
      </c>
      <c r="I390" t="s">
        <v>71</v>
      </c>
      <c r="J390" t="s">
        <v>153</v>
      </c>
      <c r="K390" t="s">
        <v>48</v>
      </c>
      <c r="M390" t="s">
        <v>31</v>
      </c>
    </row>
    <row r="391" spans="1:13" x14ac:dyDescent="0.35">
      <c r="A391">
        <v>5278</v>
      </c>
      <c r="B391" t="s">
        <v>88</v>
      </c>
      <c r="C391" t="s">
        <v>692</v>
      </c>
      <c r="D391" t="s">
        <v>51</v>
      </c>
      <c r="E391" t="s">
        <v>16</v>
      </c>
      <c r="F391" t="s">
        <v>82</v>
      </c>
      <c r="G391">
        <v>4</v>
      </c>
      <c r="H391" t="s">
        <v>693</v>
      </c>
      <c r="J391" t="s">
        <v>153</v>
      </c>
      <c r="K391" t="s">
        <v>21</v>
      </c>
      <c r="M391" t="s">
        <v>79</v>
      </c>
    </row>
    <row r="392" spans="1:13" x14ac:dyDescent="0.35">
      <c r="A392">
        <v>5418</v>
      </c>
      <c r="B392" t="s">
        <v>102</v>
      </c>
      <c r="C392" t="s">
        <v>694</v>
      </c>
      <c r="D392" t="s">
        <v>51</v>
      </c>
      <c r="E392" t="s">
        <v>26</v>
      </c>
      <c r="F392" t="s">
        <v>46</v>
      </c>
      <c r="G392">
        <v>5</v>
      </c>
      <c r="H392" t="s">
        <v>18</v>
      </c>
      <c r="I392" t="s">
        <v>19</v>
      </c>
      <c r="J392" t="s">
        <v>110</v>
      </c>
      <c r="K392" t="s">
        <v>84</v>
      </c>
      <c r="M392" t="s">
        <v>79</v>
      </c>
    </row>
    <row r="393" spans="1:13" x14ac:dyDescent="0.35">
      <c r="A393">
        <v>5039</v>
      </c>
      <c r="B393" t="s">
        <v>102</v>
      </c>
      <c r="C393" t="s">
        <v>695</v>
      </c>
      <c r="D393" t="s">
        <v>34</v>
      </c>
      <c r="E393" t="s">
        <v>26</v>
      </c>
      <c r="F393" t="s">
        <v>112</v>
      </c>
      <c r="G393">
        <v>3</v>
      </c>
      <c r="H393" t="s">
        <v>696</v>
      </c>
      <c r="J393" t="s">
        <v>60</v>
      </c>
      <c r="K393" t="s">
        <v>48</v>
      </c>
      <c r="M393" t="s">
        <v>31</v>
      </c>
    </row>
    <row r="394" spans="1:13" x14ac:dyDescent="0.35">
      <c r="A394">
        <v>5408</v>
      </c>
      <c r="B394" t="s">
        <v>74</v>
      </c>
      <c r="C394" t="s">
        <v>697</v>
      </c>
      <c r="D394" t="s">
        <v>76</v>
      </c>
      <c r="E394" t="s">
        <v>64</v>
      </c>
      <c r="F394" t="s">
        <v>116</v>
      </c>
      <c r="G394">
        <v>3</v>
      </c>
      <c r="H394" t="s">
        <v>18</v>
      </c>
      <c r="J394" t="s">
        <v>20</v>
      </c>
      <c r="K394" t="s">
        <v>84</v>
      </c>
      <c r="M394" t="s">
        <v>22</v>
      </c>
    </row>
    <row r="395" spans="1:13" x14ac:dyDescent="0.35">
      <c r="A395">
        <v>5073</v>
      </c>
      <c r="B395" t="s">
        <v>100</v>
      </c>
      <c r="C395" t="s">
        <v>698</v>
      </c>
      <c r="D395" t="s">
        <v>51</v>
      </c>
      <c r="E395" t="s">
        <v>35</v>
      </c>
      <c r="F395" t="s">
        <v>36</v>
      </c>
      <c r="G395">
        <v>4</v>
      </c>
      <c r="H395" t="s">
        <v>18</v>
      </c>
      <c r="J395" t="s">
        <v>47</v>
      </c>
      <c r="K395" t="s">
        <v>21</v>
      </c>
      <c r="M395" t="s">
        <v>73</v>
      </c>
    </row>
    <row r="396" spans="1:13" x14ac:dyDescent="0.35">
      <c r="A396">
        <v>5111</v>
      </c>
      <c r="B396" t="s">
        <v>40</v>
      </c>
      <c r="C396" t="s">
        <v>699</v>
      </c>
      <c r="D396" t="s">
        <v>76</v>
      </c>
      <c r="E396" t="s">
        <v>64</v>
      </c>
      <c r="F396" t="s">
        <v>141</v>
      </c>
      <c r="G396">
        <v>2</v>
      </c>
      <c r="H396" t="s">
        <v>700</v>
      </c>
      <c r="I396" t="s">
        <v>19</v>
      </c>
      <c r="J396" t="s">
        <v>153</v>
      </c>
      <c r="K396" t="s">
        <v>72</v>
      </c>
    </row>
    <row r="397" spans="1:13" x14ac:dyDescent="0.35">
      <c r="A397">
        <v>5429</v>
      </c>
      <c r="B397" t="s">
        <v>13</v>
      </c>
      <c r="C397" t="s">
        <v>324</v>
      </c>
      <c r="D397" t="s">
        <v>57</v>
      </c>
      <c r="E397" t="s">
        <v>64</v>
      </c>
      <c r="F397" t="s">
        <v>141</v>
      </c>
      <c r="G397">
        <v>1</v>
      </c>
      <c r="H397" t="s">
        <v>701</v>
      </c>
      <c r="J397" t="s">
        <v>110</v>
      </c>
      <c r="K397" t="s">
        <v>48</v>
      </c>
      <c r="M397" t="s">
        <v>31</v>
      </c>
    </row>
    <row r="398" spans="1:13" x14ac:dyDescent="0.35">
      <c r="A398">
        <v>5337</v>
      </c>
      <c r="B398" t="s">
        <v>120</v>
      </c>
      <c r="C398" t="s">
        <v>702</v>
      </c>
      <c r="D398" t="s">
        <v>25</v>
      </c>
      <c r="E398" t="s">
        <v>26</v>
      </c>
      <c r="F398" t="s">
        <v>52</v>
      </c>
      <c r="G398">
        <v>4</v>
      </c>
      <c r="H398" t="s">
        <v>703</v>
      </c>
      <c r="J398" t="s">
        <v>20</v>
      </c>
      <c r="K398" t="s">
        <v>61</v>
      </c>
      <c r="M398" t="s">
        <v>31</v>
      </c>
    </row>
    <row r="399" spans="1:13" x14ac:dyDescent="0.35">
      <c r="A399">
        <v>5024</v>
      </c>
      <c r="B399" t="s">
        <v>93</v>
      </c>
      <c r="C399" t="s">
        <v>704</v>
      </c>
      <c r="D399" t="s">
        <v>15</v>
      </c>
      <c r="E399" t="s">
        <v>16</v>
      </c>
      <c r="F399" t="s">
        <v>42</v>
      </c>
      <c r="H399" t="s">
        <v>705</v>
      </c>
      <c r="I399" t="s">
        <v>71</v>
      </c>
      <c r="J399" t="s">
        <v>30</v>
      </c>
      <c r="K399" t="s">
        <v>72</v>
      </c>
      <c r="M399" t="s">
        <v>79</v>
      </c>
    </row>
    <row r="400" spans="1:13" x14ac:dyDescent="0.35">
      <c r="A400">
        <v>5364</v>
      </c>
      <c r="B400" t="s">
        <v>96</v>
      </c>
      <c r="C400" t="s">
        <v>706</v>
      </c>
      <c r="D400" t="s">
        <v>25</v>
      </c>
      <c r="E400" t="s">
        <v>35</v>
      </c>
      <c r="F400" t="s">
        <v>99</v>
      </c>
      <c r="G400">
        <v>3</v>
      </c>
      <c r="H400" t="s">
        <v>18</v>
      </c>
      <c r="I400" t="s">
        <v>71</v>
      </c>
      <c r="J400" t="s">
        <v>87</v>
      </c>
      <c r="K400" t="s">
        <v>84</v>
      </c>
      <c r="M400" t="s">
        <v>73</v>
      </c>
    </row>
    <row r="401" spans="1:13" x14ac:dyDescent="0.35">
      <c r="A401">
        <v>5425</v>
      </c>
      <c r="B401" t="s">
        <v>80</v>
      </c>
      <c r="C401" t="s">
        <v>665</v>
      </c>
      <c r="D401" t="s">
        <v>57</v>
      </c>
      <c r="E401" t="s">
        <v>16</v>
      </c>
      <c r="F401" t="s">
        <v>82</v>
      </c>
      <c r="H401" t="s">
        <v>18</v>
      </c>
      <c r="I401" t="s">
        <v>19</v>
      </c>
      <c r="J401" t="s">
        <v>87</v>
      </c>
      <c r="K401" t="s">
        <v>61</v>
      </c>
    </row>
    <row r="402" spans="1:13" x14ac:dyDescent="0.35">
      <c r="A402">
        <v>5077</v>
      </c>
      <c r="B402" t="s">
        <v>88</v>
      </c>
      <c r="C402" t="s">
        <v>707</v>
      </c>
      <c r="D402" t="s">
        <v>34</v>
      </c>
      <c r="E402" t="s">
        <v>16</v>
      </c>
      <c r="F402" t="s">
        <v>42</v>
      </c>
      <c r="H402" t="s">
        <v>708</v>
      </c>
      <c r="I402" t="s">
        <v>19</v>
      </c>
      <c r="J402" t="s">
        <v>47</v>
      </c>
      <c r="K402" t="s">
        <v>38</v>
      </c>
      <c r="M402" t="s">
        <v>31</v>
      </c>
    </row>
    <row r="403" spans="1:13" x14ac:dyDescent="0.35">
      <c r="A403">
        <v>5170</v>
      </c>
      <c r="B403" t="s">
        <v>68</v>
      </c>
      <c r="C403" t="s">
        <v>75</v>
      </c>
      <c r="D403" t="s">
        <v>86</v>
      </c>
      <c r="E403" t="s">
        <v>26</v>
      </c>
      <c r="F403" t="s">
        <v>27</v>
      </c>
      <c r="G403">
        <v>2</v>
      </c>
      <c r="H403" t="s">
        <v>709</v>
      </c>
      <c r="I403" t="s">
        <v>54</v>
      </c>
      <c r="J403" t="s">
        <v>114</v>
      </c>
      <c r="K403" t="s">
        <v>21</v>
      </c>
      <c r="M403" t="s">
        <v>39</v>
      </c>
    </row>
    <row r="404" spans="1:13" x14ac:dyDescent="0.35">
      <c r="A404">
        <v>5386</v>
      </c>
      <c r="B404" t="s">
        <v>210</v>
      </c>
      <c r="C404" t="s">
        <v>710</v>
      </c>
      <c r="D404" t="s">
        <v>51</v>
      </c>
      <c r="E404" t="s">
        <v>35</v>
      </c>
      <c r="F404" t="s">
        <v>58</v>
      </c>
      <c r="G404">
        <v>5</v>
      </c>
      <c r="H404" t="s">
        <v>711</v>
      </c>
      <c r="I404" t="s">
        <v>18</v>
      </c>
      <c r="J404" t="s">
        <v>153</v>
      </c>
      <c r="K404" t="s">
        <v>44</v>
      </c>
      <c r="M404" t="s">
        <v>67</v>
      </c>
    </row>
    <row r="405" spans="1:13" x14ac:dyDescent="0.35">
      <c r="A405">
        <v>5419</v>
      </c>
      <c r="B405" t="s">
        <v>210</v>
      </c>
      <c r="C405" t="s">
        <v>712</v>
      </c>
      <c r="D405" t="s">
        <v>76</v>
      </c>
      <c r="E405" t="s">
        <v>35</v>
      </c>
      <c r="F405" t="s">
        <v>36</v>
      </c>
      <c r="G405">
        <v>2</v>
      </c>
      <c r="H405" t="s">
        <v>713</v>
      </c>
      <c r="I405" t="s">
        <v>71</v>
      </c>
      <c r="J405" t="s">
        <v>114</v>
      </c>
      <c r="K405" t="s">
        <v>61</v>
      </c>
      <c r="M405" t="s">
        <v>39</v>
      </c>
    </row>
    <row r="406" spans="1:13" x14ac:dyDescent="0.35">
      <c r="A406">
        <v>5168</v>
      </c>
      <c r="B406" t="s">
        <v>126</v>
      </c>
      <c r="C406" t="s">
        <v>714</v>
      </c>
      <c r="D406" t="s">
        <v>15</v>
      </c>
      <c r="E406" t="s">
        <v>35</v>
      </c>
      <c r="F406" t="s">
        <v>99</v>
      </c>
      <c r="G406">
        <v>3</v>
      </c>
      <c r="H406" t="s">
        <v>715</v>
      </c>
      <c r="I406" t="s">
        <v>43</v>
      </c>
      <c r="J406" t="s">
        <v>30</v>
      </c>
      <c r="K406" t="s">
        <v>72</v>
      </c>
    </row>
    <row r="407" spans="1:13" x14ac:dyDescent="0.35">
      <c r="A407">
        <v>5295</v>
      </c>
      <c r="B407" t="s">
        <v>55</v>
      </c>
      <c r="C407" t="s">
        <v>716</v>
      </c>
      <c r="D407" t="s">
        <v>15</v>
      </c>
      <c r="E407" t="s">
        <v>16</v>
      </c>
      <c r="F407" t="s">
        <v>109</v>
      </c>
      <c r="G407">
        <v>5</v>
      </c>
      <c r="H407" t="s">
        <v>18</v>
      </c>
      <c r="I407" t="s">
        <v>43</v>
      </c>
      <c r="J407" t="s">
        <v>47</v>
      </c>
      <c r="K407" t="s">
        <v>44</v>
      </c>
      <c r="M407" t="s">
        <v>31</v>
      </c>
    </row>
    <row r="408" spans="1:13" x14ac:dyDescent="0.35">
      <c r="A408">
        <v>5312</v>
      </c>
      <c r="B408" t="s">
        <v>151</v>
      </c>
      <c r="C408" t="s">
        <v>717</v>
      </c>
      <c r="D408" t="s">
        <v>86</v>
      </c>
      <c r="E408" t="s">
        <v>64</v>
      </c>
      <c r="F408" t="s">
        <v>65</v>
      </c>
      <c r="G408">
        <v>4</v>
      </c>
      <c r="H408" t="s">
        <v>718</v>
      </c>
      <c r="J408" t="s">
        <v>20</v>
      </c>
      <c r="K408" t="s">
        <v>48</v>
      </c>
      <c r="M408" t="s">
        <v>79</v>
      </c>
    </row>
    <row r="409" spans="1:13" x14ac:dyDescent="0.35">
      <c r="A409">
        <v>5054</v>
      </c>
      <c r="B409" t="s">
        <v>55</v>
      </c>
      <c r="C409" t="s">
        <v>719</v>
      </c>
      <c r="D409" t="s">
        <v>108</v>
      </c>
      <c r="E409" t="s">
        <v>35</v>
      </c>
      <c r="F409" t="s">
        <v>155</v>
      </c>
      <c r="H409" t="s">
        <v>720</v>
      </c>
      <c r="I409" t="s">
        <v>18</v>
      </c>
      <c r="J409" t="s">
        <v>47</v>
      </c>
      <c r="K409" t="s">
        <v>61</v>
      </c>
    </row>
    <row r="410" spans="1:13" x14ac:dyDescent="0.35">
      <c r="A410">
        <v>5226</v>
      </c>
      <c r="B410" t="s">
        <v>32</v>
      </c>
      <c r="C410" t="s">
        <v>721</v>
      </c>
      <c r="D410" t="s">
        <v>51</v>
      </c>
      <c r="E410" t="s">
        <v>35</v>
      </c>
      <c r="F410" t="s">
        <v>58</v>
      </c>
      <c r="H410" t="s">
        <v>722</v>
      </c>
      <c r="J410" t="s">
        <v>78</v>
      </c>
      <c r="K410" t="s">
        <v>38</v>
      </c>
      <c r="M410" t="s">
        <v>22</v>
      </c>
    </row>
    <row r="411" spans="1:13" x14ac:dyDescent="0.35">
      <c r="A411">
        <v>5317</v>
      </c>
      <c r="B411" t="s">
        <v>120</v>
      </c>
      <c r="C411" t="s">
        <v>723</v>
      </c>
      <c r="D411" t="s">
        <v>57</v>
      </c>
      <c r="E411" t="s">
        <v>64</v>
      </c>
      <c r="F411" t="s">
        <v>77</v>
      </c>
      <c r="G411">
        <v>4</v>
      </c>
      <c r="H411" t="s">
        <v>724</v>
      </c>
      <c r="I411" t="s">
        <v>54</v>
      </c>
      <c r="J411" t="s">
        <v>153</v>
      </c>
      <c r="K411" t="s">
        <v>44</v>
      </c>
    </row>
    <row r="412" spans="1:13" x14ac:dyDescent="0.35">
      <c r="A412">
        <v>5433</v>
      </c>
      <c r="B412" t="s">
        <v>93</v>
      </c>
      <c r="C412" t="s">
        <v>725</v>
      </c>
      <c r="D412" t="s">
        <v>57</v>
      </c>
      <c r="E412" t="s">
        <v>35</v>
      </c>
      <c r="F412" t="s">
        <v>99</v>
      </c>
      <c r="G412">
        <v>3</v>
      </c>
      <c r="H412" t="s">
        <v>18</v>
      </c>
      <c r="I412" t="s">
        <v>71</v>
      </c>
      <c r="J412" t="s">
        <v>87</v>
      </c>
      <c r="K412" t="s">
        <v>21</v>
      </c>
      <c r="M412" t="s">
        <v>39</v>
      </c>
    </row>
    <row r="413" spans="1:13" x14ac:dyDescent="0.35">
      <c r="A413">
        <v>5286</v>
      </c>
      <c r="B413" t="s">
        <v>149</v>
      </c>
      <c r="C413" t="s">
        <v>726</v>
      </c>
      <c r="D413" t="s">
        <v>86</v>
      </c>
      <c r="E413" t="s">
        <v>35</v>
      </c>
      <c r="F413" t="s">
        <v>99</v>
      </c>
      <c r="G413">
        <v>5</v>
      </c>
      <c r="H413" t="s">
        <v>18</v>
      </c>
      <c r="J413" t="s">
        <v>114</v>
      </c>
      <c r="K413" t="s">
        <v>61</v>
      </c>
      <c r="M413" t="s">
        <v>39</v>
      </c>
    </row>
    <row r="414" spans="1:13" x14ac:dyDescent="0.35">
      <c r="A414">
        <v>5033</v>
      </c>
      <c r="B414" t="s">
        <v>129</v>
      </c>
      <c r="C414" t="s">
        <v>727</v>
      </c>
      <c r="D414" t="s">
        <v>25</v>
      </c>
      <c r="E414" t="s">
        <v>16</v>
      </c>
      <c r="F414" t="s">
        <v>17</v>
      </c>
      <c r="G414">
        <v>1</v>
      </c>
      <c r="H414" t="s">
        <v>728</v>
      </c>
      <c r="I414" t="s">
        <v>54</v>
      </c>
      <c r="J414" t="s">
        <v>78</v>
      </c>
      <c r="K414" t="s">
        <v>84</v>
      </c>
    </row>
    <row r="415" spans="1:13" x14ac:dyDescent="0.35">
      <c r="A415">
        <v>5061</v>
      </c>
      <c r="B415" t="s">
        <v>151</v>
      </c>
      <c r="C415" t="s">
        <v>242</v>
      </c>
      <c r="D415" t="s">
        <v>57</v>
      </c>
      <c r="E415" t="s">
        <v>16</v>
      </c>
      <c r="F415" t="s">
        <v>42</v>
      </c>
      <c r="G415">
        <v>3</v>
      </c>
      <c r="H415" t="s">
        <v>18</v>
      </c>
      <c r="J415" t="s">
        <v>87</v>
      </c>
      <c r="K415" t="s">
        <v>21</v>
      </c>
      <c r="M415" t="s">
        <v>73</v>
      </c>
    </row>
    <row r="416" spans="1:13" x14ac:dyDescent="0.35">
      <c r="A416">
        <v>5004</v>
      </c>
      <c r="B416" t="s">
        <v>151</v>
      </c>
      <c r="C416" t="s">
        <v>729</v>
      </c>
      <c r="D416" t="s">
        <v>51</v>
      </c>
      <c r="E416" t="s">
        <v>35</v>
      </c>
      <c r="F416" t="s">
        <v>155</v>
      </c>
      <c r="G416">
        <v>5</v>
      </c>
      <c r="H416" t="s">
        <v>18</v>
      </c>
      <c r="I416" t="s">
        <v>19</v>
      </c>
      <c r="J416" t="s">
        <v>30</v>
      </c>
      <c r="K416" t="s">
        <v>38</v>
      </c>
      <c r="M416" t="s">
        <v>31</v>
      </c>
    </row>
    <row r="417" spans="1:13" x14ac:dyDescent="0.35">
      <c r="A417">
        <v>5463</v>
      </c>
      <c r="B417" t="s">
        <v>23</v>
      </c>
      <c r="C417" t="s">
        <v>516</v>
      </c>
      <c r="D417" t="s">
        <v>15</v>
      </c>
      <c r="E417" t="s">
        <v>16</v>
      </c>
      <c r="F417" t="s">
        <v>170</v>
      </c>
      <c r="G417">
        <v>2</v>
      </c>
      <c r="H417" t="s">
        <v>18</v>
      </c>
      <c r="I417" t="s">
        <v>54</v>
      </c>
      <c r="J417" t="s">
        <v>30</v>
      </c>
      <c r="K417" t="s">
        <v>21</v>
      </c>
      <c r="M417" t="s">
        <v>67</v>
      </c>
    </row>
    <row r="418" spans="1:13" x14ac:dyDescent="0.35">
      <c r="A418">
        <v>5361</v>
      </c>
      <c r="B418" t="s">
        <v>149</v>
      </c>
      <c r="C418" t="s">
        <v>730</v>
      </c>
      <c r="D418" t="s">
        <v>108</v>
      </c>
      <c r="E418" t="s">
        <v>35</v>
      </c>
      <c r="F418" t="s">
        <v>58</v>
      </c>
      <c r="H418" t="s">
        <v>18</v>
      </c>
      <c r="I418" t="s">
        <v>19</v>
      </c>
      <c r="J418" t="s">
        <v>87</v>
      </c>
      <c r="K418" t="s">
        <v>38</v>
      </c>
      <c r="M418" t="s">
        <v>39</v>
      </c>
    </row>
    <row r="419" spans="1:13" x14ac:dyDescent="0.35">
      <c r="A419">
        <v>5298</v>
      </c>
      <c r="B419" t="s">
        <v>151</v>
      </c>
      <c r="C419" t="s">
        <v>661</v>
      </c>
      <c r="D419" t="s">
        <v>86</v>
      </c>
      <c r="E419" t="s">
        <v>16</v>
      </c>
      <c r="F419" t="s">
        <v>17</v>
      </c>
      <c r="G419">
        <v>5</v>
      </c>
      <c r="H419" t="s">
        <v>731</v>
      </c>
      <c r="I419" t="s">
        <v>29</v>
      </c>
      <c r="J419" t="s">
        <v>153</v>
      </c>
      <c r="K419" t="s">
        <v>72</v>
      </c>
      <c r="M419" t="s">
        <v>73</v>
      </c>
    </row>
    <row r="420" spans="1:13" x14ac:dyDescent="0.35">
      <c r="A420">
        <v>5094</v>
      </c>
      <c r="B420" t="s">
        <v>32</v>
      </c>
      <c r="C420" t="s">
        <v>732</v>
      </c>
      <c r="D420" t="s">
        <v>86</v>
      </c>
      <c r="E420" t="s">
        <v>26</v>
      </c>
      <c r="F420" t="s">
        <v>112</v>
      </c>
      <c r="G420">
        <v>2</v>
      </c>
      <c r="H420" t="s">
        <v>18</v>
      </c>
      <c r="I420" t="s">
        <v>43</v>
      </c>
      <c r="J420" t="s">
        <v>114</v>
      </c>
      <c r="K420" t="s">
        <v>72</v>
      </c>
      <c r="M420" t="s">
        <v>31</v>
      </c>
    </row>
    <row r="421" spans="1:13" x14ac:dyDescent="0.35">
      <c r="A421">
        <v>5074</v>
      </c>
      <c r="B421" t="s">
        <v>120</v>
      </c>
      <c r="C421" t="s">
        <v>733</v>
      </c>
      <c r="D421" t="s">
        <v>34</v>
      </c>
      <c r="E421" t="s">
        <v>16</v>
      </c>
      <c r="F421" t="s">
        <v>170</v>
      </c>
      <c r="G421">
        <v>5</v>
      </c>
      <c r="H421" t="s">
        <v>18</v>
      </c>
      <c r="I421" t="s">
        <v>18</v>
      </c>
      <c r="J421" t="s">
        <v>110</v>
      </c>
      <c r="K421" t="s">
        <v>21</v>
      </c>
      <c r="M421" t="s">
        <v>22</v>
      </c>
    </row>
    <row r="422" spans="1:13" x14ac:dyDescent="0.35">
      <c r="A422">
        <v>5346</v>
      </c>
      <c r="B422" t="s">
        <v>62</v>
      </c>
      <c r="C422" t="s">
        <v>734</v>
      </c>
      <c r="D422" t="s">
        <v>86</v>
      </c>
      <c r="E422" t="s">
        <v>35</v>
      </c>
      <c r="F422" t="s">
        <v>99</v>
      </c>
      <c r="H422" t="s">
        <v>735</v>
      </c>
      <c r="I422" t="s">
        <v>19</v>
      </c>
      <c r="J422" t="s">
        <v>110</v>
      </c>
      <c r="K422" t="s">
        <v>38</v>
      </c>
      <c r="M422" t="s">
        <v>79</v>
      </c>
    </row>
    <row r="423" spans="1:13" x14ac:dyDescent="0.35">
      <c r="A423">
        <v>5175</v>
      </c>
      <c r="B423" t="s">
        <v>49</v>
      </c>
      <c r="C423" t="s">
        <v>41</v>
      </c>
      <c r="D423" t="s">
        <v>76</v>
      </c>
      <c r="E423" t="s">
        <v>26</v>
      </c>
      <c r="F423" t="s">
        <v>167</v>
      </c>
      <c r="G423">
        <v>3</v>
      </c>
      <c r="H423" t="s">
        <v>736</v>
      </c>
      <c r="J423" t="s">
        <v>60</v>
      </c>
      <c r="K423" t="s">
        <v>72</v>
      </c>
      <c r="M423" t="s">
        <v>73</v>
      </c>
    </row>
    <row r="424" spans="1:13" x14ac:dyDescent="0.35">
      <c r="A424">
        <v>5211</v>
      </c>
      <c r="B424" t="s">
        <v>55</v>
      </c>
      <c r="C424" t="s">
        <v>737</v>
      </c>
      <c r="D424" t="s">
        <v>34</v>
      </c>
      <c r="E424" t="s">
        <v>64</v>
      </c>
      <c r="F424" t="s">
        <v>65</v>
      </c>
      <c r="G424">
        <v>2</v>
      </c>
      <c r="H424" t="s">
        <v>18</v>
      </c>
      <c r="I424" t="s">
        <v>29</v>
      </c>
      <c r="J424" t="s">
        <v>78</v>
      </c>
      <c r="K424" t="s">
        <v>21</v>
      </c>
      <c r="M424" t="s">
        <v>31</v>
      </c>
    </row>
    <row r="425" spans="1:13" x14ac:dyDescent="0.35">
      <c r="A425">
        <v>5415</v>
      </c>
      <c r="B425" t="s">
        <v>80</v>
      </c>
      <c r="C425" t="s">
        <v>738</v>
      </c>
      <c r="D425" t="s">
        <v>86</v>
      </c>
      <c r="E425" t="s">
        <v>64</v>
      </c>
      <c r="F425" t="s">
        <v>65</v>
      </c>
      <c r="G425">
        <v>3</v>
      </c>
      <c r="H425" t="s">
        <v>739</v>
      </c>
      <c r="J425" t="s">
        <v>60</v>
      </c>
      <c r="K425" t="s">
        <v>38</v>
      </c>
    </row>
    <row r="426" spans="1:13" x14ac:dyDescent="0.35">
      <c r="A426">
        <v>5477</v>
      </c>
      <c r="B426" t="s">
        <v>32</v>
      </c>
      <c r="C426" t="s">
        <v>740</v>
      </c>
      <c r="D426" t="s">
        <v>51</v>
      </c>
      <c r="E426" t="s">
        <v>26</v>
      </c>
      <c r="F426" t="s">
        <v>52</v>
      </c>
      <c r="H426" t="s">
        <v>741</v>
      </c>
      <c r="I426" t="s">
        <v>43</v>
      </c>
      <c r="J426" t="s">
        <v>20</v>
      </c>
      <c r="K426" t="s">
        <v>72</v>
      </c>
      <c r="M426" t="s">
        <v>79</v>
      </c>
    </row>
    <row r="427" spans="1:13" x14ac:dyDescent="0.35">
      <c r="A427">
        <v>5138</v>
      </c>
      <c r="B427" t="s">
        <v>117</v>
      </c>
      <c r="C427" t="s">
        <v>742</v>
      </c>
      <c r="D427" t="s">
        <v>108</v>
      </c>
      <c r="E427" t="s">
        <v>64</v>
      </c>
      <c r="F427" t="s">
        <v>65</v>
      </c>
      <c r="G427">
        <v>1</v>
      </c>
      <c r="H427" t="s">
        <v>743</v>
      </c>
      <c r="I427" t="s">
        <v>43</v>
      </c>
      <c r="J427" t="s">
        <v>60</v>
      </c>
      <c r="K427" t="s">
        <v>48</v>
      </c>
      <c r="M427" t="s">
        <v>73</v>
      </c>
    </row>
    <row r="428" spans="1:13" x14ac:dyDescent="0.35">
      <c r="A428">
        <v>5459</v>
      </c>
      <c r="B428" t="s">
        <v>88</v>
      </c>
      <c r="C428" t="s">
        <v>744</v>
      </c>
      <c r="D428" t="s">
        <v>34</v>
      </c>
      <c r="E428" t="s">
        <v>64</v>
      </c>
      <c r="F428" t="s">
        <v>133</v>
      </c>
      <c r="H428" t="s">
        <v>745</v>
      </c>
      <c r="J428" t="s">
        <v>20</v>
      </c>
      <c r="K428" t="s">
        <v>61</v>
      </c>
      <c r="M428" t="s">
        <v>22</v>
      </c>
    </row>
    <row r="429" spans="1:13" x14ac:dyDescent="0.35">
      <c r="A429">
        <v>5414</v>
      </c>
      <c r="B429" t="s">
        <v>100</v>
      </c>
      <c r="C429" t="s">
        <v>746</v>
      </c>
      <c r="D429" t="s">
        <v>34</v>
      </c>
      <c r="E429" t="s">
        <v>64</v>
      </c>
      <c r="F429" t="s">
        <v>141</v>
      </c>
      <c r="H429" t="s">
        <v>18</v>
      </c>
      <c r="I429" t="s">
        <v>54</v>
      </c>
      <c r="J429" t="s">
        <v>87</v>
      </c>
      <c r="K429" t="s">
        <v>38</v>
      </c>
      <c r="M429" t="s">
        <v>39</v>
      </c>
    </row>
    <row r="430" spans="1:13" x14ac:dyDescent="0.35">
      <c r="A430">
        <v>5492</v>
      </c>
      <c r="B430" t="s">
        <v>151</v>
      </c>
      <c r="C430" t="s">
        <v>380</v>
      </c>
      <c r="D430" t="s">
        <v>34</v>
      </c>
      <c r="E430" t="s">
        <v>16</v>
      </c>
      <c r="F430" t="s">
        <v>109</v>
      </c>
      <c r="G430">
        <v>2</v>
      </c>
      <c r="H430" t="s">
        <v>747</v>
      </c>
      <c r="I430" t="s">
        <v>19</v>
      </c>
      <c r="J430" t="s">
        <v>78</v>
      </c>
      <c r="K430" t="s">
        <v>61</v>
      </c>
      <c r="M430" t="s">
        <v>31</v>
      </c>
    </row>
    <row r="431" spans="1:13" x14ac:dyDescent="0.35">
      <c r="A431">
        <v>5362</v>
      </c>
      <c r="B431" t="s">
        <v>88</v>
      </c>
      <c r="C431" t="s">
        <v>748</v>
      </c>
      <c r="D431" t="s">
        <v>34</v>
      </c>
      <c r="E431" t="s">
        <v>64</v>
      </c>
      <c r="F431" t="s">
        <v>133</v>
      </c>
      <c r="G431">
        <v>4</v>
      </c>
      <c r="H431" t="s">
        <v>749</v>
      </c>
      <c r="J431" t="s">
        <v>20</v>
      </c>
      <c r="K431" t="s">
        <v>21</v>
      </c>
      <c r="M431" t="s">
        <v>79</v>
      </c>
    </row>
    <row r="432" spans="1:13" x14ac:dyDescent="0.35">
      <c r="A432">
        <v>5099</v>
      </c>
      <c r="B432" t="s">
        <v>13</v>
      </c>
      <c r="C432" t="s">
        <v>750</v>
      </c>
      <c r="D432" t="s">
        <v>76</v>
      </c>
      <c r="E432" t="s">
        <v>35</v>
      </c>
      <c r="F432" t="s">
        <v>36</v>
      </c>
      <c r="G432">
        <v>5</v>
      </c>
      <c r="H432" t="s">
        <v>18</v>
      </c>
      <c r="I432" t="s">
        <v>19</v>
      </c>
      <c r="J432" t="s">
        <v>60</v>
      </c>
      <c r="K432" t="s">
        <v>84</v>
      </c>
      <c r="M432" t="s">
        <v>67</v>
      </c>
    </row>
    <row r="433" spans="1:13" x14ac:dyDescent="0.35">
      <c r="A433">
        <v>5085</v>
      </c>
      <c r="B433" t="s">
        <v>126</v>
      </c>
      <c r="C433" t="s">
        <v>608</v>
      </c>
      <c r="D433" t="s">
        <v>76</v>
      </c>
      <c r="E433" t="s">
        <v>64</v>
      </c>
      <c r="F433" t="s">
        <v>65</v>
      </c>
      <c r="G433">
        <v>4</v>
      </c>
      <c r="H433" t="s">
        <v>18</v>
      </c>
      <c r="I433" t="s">
        <v>29</v>
      </c>
      <c r="J433" t="s">
        <v>47</v>
      </c>
      <c r="K433" t="s">
        <v>84</v>
      </c>
      <c r="M433" t="s">
        <v>73</v>
      </c>
    </row>
    <row r="434" spans="1:13" x14ac:dyDescent="0.35">
      <c r="A434">
        <v>5398</v>
      </c>
      <c r="B434" t="s">
        <v>120</v>
      </c>
      <c r="C434" t="s">
        <v>751</v>
      </c>
      <c r="D434" t="s">
        <v>57</v>
      </c>
      <c r="E434" t="s">
        <v>35</v>
      </c>
      <c r="F434" t="s">
        <v>136</v>
      </c>
      <c r="G434">
        <v>3</v>
      </c>
      <c r="H434" t="s">
        <v>752</v>
      </c>
      <c r="I434" t="s">
        <v>54</v>
      </c>
      <c r="J434" t="s">
        <v>78</v>
      </c>
      <c r="K434" t="s">
        <v>48</v>
      </c>
      <c r="M434" t="s">
        <v>22</v>
      </c>
    </row>
    <row r="435" spans="1:13" x14ac:dyDescent="0.35">
      <c r="A435">
        <v>5280</v>
      </c>
      <c r="B435" t="s">
        <v>93</v>
      </c>
      <c r="C435" t="s">
        <v>753</v>
      </c>
      <c r="D435" t="s">
        <v>15</v>
      </c>
      <c r="E435" t="s">
        <v>35</v>
      </c>
      <c r="F435" t="s">
        <v>99</v>
      </c>
      <c r="G435">
        <v>3</v>
      </c>
      <c r="H435" t="s">
        <v>754</v>
      </c>
      <c r="I435" t="s">
        <v>29</v>
      </c>
      <c r="J435" t="s">
        <v>47</v>
      </c>
      <c r="K435" t="s">
        <v>84</v>
      </c>
      <c r="M435" t="s">
        <v>79</v>
      </c>
    </row>
    <row r="436" spans="1:13" x14ac:dyDescent="0.35">
      <c r="A436">
        <v>5083</v>
      </c>
      <c r="B436" t="s">
        <v>102</v>
      </c>
      <c r="C436" t="s">
        <v>755</v>
      </c>
      <c r="D436" t="s">
        <v>86</v>
      </c>
      <c r="E436" t="s">
        <v>64</v>
      </c>
      <c r="F436" t="s">
        <v>133</v>
      </c>
      <c r="H436" t="s">
        <v>756</v>
      </c>
      <c r="I436" t="s">
        <v>43</v>
      </c>
      <c r="J436" t="s">
        <v>87</v>
      </c>
      <c r="K436" t="s">
        <v>72</v>
      </c>
      <c r="M436" t="s">
        <v>31</v>
      </c>
    </row>
    <row r="437" spans="1:13" x14ac:dyDescent="0.35">
      <c r="A437">
        <v>5348</v>
      </c>
      <c r="B437" t="s">
        <v>120</v>
      </c>
      <c r="C437" t="s">
        <v>757</v>
      </c>
      <c r="D437" t="s">
        <v>108</v>
      </c>
      <c r="E437" t="s">
        <v>64</v>
      </c>
      <c r="F437" t="s">
        <v>77</v>
      </c>
      <c r="G437">
        <v>2</v>
      </c>
      <c r="H437" t="s">
        <v>758</v>
      </c>
      <c r="I437" t="s">
        <v>19</v>
      </c>
      <c r="J437" t="s">
        <v>114</v>
      </c>
      <c r="K437" t="s">
        <v>38</v>
      </c>
      <c r="M437" t="s">
        <v>67</v>
      </c>
    </row>
    <row r="438" spans="1:13" x14ac:dyDescent="0.35">
      <c r="A438">
        <v>5064</v>
      </c>
      <c r="B438" t="s">
        <v>129</v>
      </c>
      <c r="C438" t="s">
        <v>759</v>
      </c>
      <c r="D438" t="s">
        <v>51</v>
      </c>
      <c r="E438" t="s">
        <v>35</v>
      </c>
      <c r="F438" t="s">
        <v>136</v>
      </c>
      <c r="G438">
        <v>2</v>
      </c>
      <c r="H438" t="s">
        <v>760</v>
      </c>
      <c r="I438" t="s">
        <v>71</v>
      </c>
      <c r="J438" t="s">
        <v>60</v>
      </c>
      <c r="K438" t="s">
        <v>48</v>
      </c>
      <c r="M438" t="s">
        <v>73</v>
      </c>
    </row>
    <row r="439" spans="1:13" x14ac:dyDescent="0.35">
      <c r="A439">
        <v>5177</v>
      </c>
      <c r="B439" t="s">
        <v>93</v>
      </c>
      <c r="C439" t="s">
        <v>761</v>
      </c>
      <c r="D439" t="s">
        <v>15</v>
      </c>
      <c r="E439" t="s">
        <v>35</v>
      </c>
      <c r="F439" t="s">
        <v>36</v>
      </c>
      <c r="G439">
        <v>5</v>
      </c>
      <c r="H439" t="s">
        <v>762</v>
      </c>
      <c r="I439" t="s">
        <v>29</v>
      </c>
      <c r="J439" t="s">
        <v>78</v>
      </c>
      <c r="K439" t="s">
        <v>61</v>
      </c>
      <c r="M439" t="s">
        <v>31</v>
      </c>
    </row>
    <row r="440" spans="1:13" x14ac:dyDescent="0.35">
      <c r="A440">
        <v>5448</v>
      </c>
      <c r="B440" t="s">
        <v>129</v>
      </c>
      <c r="C440" t="s">
        <v>763</v>
      </c>
      <c r="D440" t="s">
        <v>25</v>
      </c>
      <c r="E440" t="s">
        <v>35</v>
      </c>
      <c r="F440" t="s">
        <v>99</v>
      </c>
      <c r="G440">
        <v>3</v>
      </c>
      <c r="H440" t="s">
        <v>764</v>
      </c>
      <c r="I440" t="s">
        <v>29</v>
      </c>
      <c r="J440" t="s">
        <v>30</v>
      </c>
      <c r="K440" t="s">
        <v>61</v>
      </c>
      <c r="M440" t="s">
        <v>79</v>
      </c>
    </row>
    <row r="441" spans="1:13" x14ac:dyDescent="0.35">
      <c r="A441">
        <v>5076</v>
      </c>
      <c r="B441" t="s">
        <v>13</v>
      </c>
      <c r="C441" t="s">
        <v>765</v>
      </c>
      <c r="D441" t="s">
        <v>34</v>
      </c>
      <c r="E441" t="s">
        <v>16</v>
      </c>
      <c r="F441" t="s">
        <v>17</v>
      </c>
      <c r="G441">
        <v>1</v>
      </c>
      <c r="H441" t="s">
        <v>18</v>
      </c>
      <c r="I441" t="s">
        <v>71</v>
      </c>
      <c r="J441" t="s">
        <v>78</v>
      </c>
      <c r="K441" t="s">
        <v>44</v>
      </c>
      <c r="M441" t="s">
        <v>73</v>
      </c>
    </row>
    <row r="442" spans="1:13" x14ac:dyDescent="0.35">
      <c r="A442">
        <v>5309</v>
      </c>
      <c r="B442" t="s">
        <v>151</v>
      </c>
      <c r="C442" t="s">
        <v>766</v>
      </c>
      <c r="D442" t="s">
        <v>86</v>
      </c>
      <c r="E442" t="s">
        <v>26</v>
      </c>
      <c r="F442" t="s">
        <v>167</v>
      </c>
      <c r="G442">
        <v>5</v>
      </c>
      <c r="H442" t="s">
        <v>767</v>
      </c>
      <c r="I442" t="s">
        <v>43</v>
      </c>
      <c r="J442" t="s">
        <v>78</v>
      </c>
      <c r="K442" t="s">
        <v>72</v>
      </c>
      <c r="M442" t="s">
        <v>22</v>
      </c>
    </row>
    <row r="443" spans="1:13" x14ac:dyDescent="0.35">
      <c r="A443">
        <v>5467</v>
      </c>
      <c r="B443" t="s">
        <v>100</v>
      </c>
      <c r="C443" t="s">
        <v>768</v>
      </c>
      <c r="D443" t="s">
        <v>57</v>
      </c>
      <c r="E443" t="s">
        <v>35</v>
      </c>
      <c r="F443" t="s">
        <v>58</v>
      </c>
      <c r="G443">
        <v>3</v>
      </c>
      <c r="H443" t="s">
        <v>18</v>
      </c>
      <c r="I443" t="s">
        <v>54</v>
      </c>
      <c r="J443" t="s">
        <v>78</v>
      </c>
      <c r="K443" t="s">
        <v>21</v>
      </c>
      <c r="M443" t="s">
        <v>67</v>
      </c>
    </row>
    <row r="444" spans="1:13" x14ac:dyDescent="0.35">
      <c r="A444">
        <v>5428</v>
      </c>
      <c r="B444" t="s">
        <v>102</v>
      </c>
      <c r="C444" t="s">
        <v>769</v>
      </c>
      <c r="D444" t="s">
        <v>76</v>
      </c>
      <c r="E444" t="s">
        <v>16</v>
      </c>
      <c r="F444" t="s">
        <v>17</v>
      </c>
      <c r="H444" t="s">
        <v>770</v>
      </c>
      <c r="I444" t="s">
        <v>43</v>
      </c>
      <c r="J444" t="s">
        <v>78</v>
      </c>
      <c r="K444" t="s">
        <v>44</v>
      </c>
      <c r="M444" t="s">
        <v>73</v>
      </c>
    </row>
    <row r="445" spans="1:13" x14ac:dyDescent="0.35">
      <c r="A445">
        <v>5267</v>
      </c>
      <c r="B445" t="s">
        <v>32</v>
      </c>
      <c r="C445" t="s">
        <v>771</v>
      </c>
      <c r="D445" t="s">
        <v>51</v>
      </c>
      <c r="E445" t="s">
        <v>64</v>
      </c>
      <c r="F445" t="s">
        <v>141</v>
      </c>
      <c r="G445">
        <v>2</v>
      </c>
      <c r="H445" t="s">
        <v>772</v>
      </c>
      <c r="I445" t="s">
        <v>43</v>
      </c>
      <c r="J445" t="s">
        <v>114</v>
      </c>
      <c r="K445" t="s">
        <v>21</v>
      </c>
      <c r="M445" t="s">
        <v>39</v>
      </c>
    </row>
    <row r="446" spans="1:13" x14ac:dyDescent="0.35">
      <c r="A446">
        <v>5232</v>
      </c>
      <c r="B446" t="s">
        <v>120</v>
      </c>
      <c r="C446" t="s">
        <v>265</v>
      </c>
      <c r="D446" t="s">
        <v>57</v>
      </c>
      <c r="E446" t="s">
        <v>64</v>
      </c>
      <c r="F446" t="s">
        <v>77</v>
      </c>
      <c r="G446">
        <v>5</v>
      </c>
      <c r="H446" t="s">
        <v>773</v>
      </c>
      <c r="I446" t="s">
        <v>43</v>
      </c>
      <c r="J446" t="s">
        <v>110</v>
      </c>
      <c r="K446" t="s">
        <v>38</v>
      </c>
      <c r="M446" t="s">
        <v>39</v>
      </c>
    </row>
    <row r="447" spans="1:13" x14ac:dyDescent="0.35">
      <c r="A447">
        <v>5197</v>
      </c>
      <c r="B447" t="s">
        <v>100</v>
      </c>
      <c r="C447" t="s">
        <v>774</v>
      </c>
      <c r="D447" t="s">
        <v>34</v>
      </c>
      <c r="E447" t="s">
        <v>16</v>
      </c>
      <c r="F447" t="s">
        <v>42</v>
      </c>
      <c r="H447" t="s">
        <v>775</v>
      </c>
      <c r="I447" t="s">
        <v>29</v>
      </c>
      <c r="J447" t="s">
        <v>60</v>
      </c>
      <c r="K447" t="s">
        <v>72</v>
      </c>
      <c r="M447" t="s">
        <v>67</v>
      </c>
    </row>
    <row r="448" spans="1:13" x14ac:dyDescent="0.35">
      <c r="A448">
        <v>5019</v>
      </c>
      <c r="B448" t="s">
        <v>88</v>
      </c>
      <c r="C448" t="s">
        <v>776</v>
      </c>
      <c r="D448" t="s">
        <v>76</v>
      </c>
      <c r="E448" t="s">
        <v>16</v>
      </c>
      <c r="F448" t="s">
        <v>82</v>
      </c>
      <c r="G448">
        <v>1</v>
      </c>
      <c r="H448" t="s">
        <v>18</v>
      </c>
      <c r="I448" t="s">
        <v>19</v>
      </c>
      <c r="J448" t="s">
        <v>110</v>
      </c>
      <c r="K448" t="s">
        <v>48</v>
      </c>
      <c r="M448" t="s">
        <v>31</v>
      </c>
    </row>
    <row r="449" spans="1:13" x14ac:dyDescent="0.35">
      <c r="A449">
        <v>5023</v>
      </c>
      <c r="B449" t="s">
        <v>88</v>
      </c>
      <c r="C449" t="s">
        <v>777</v>
      </c>
      <c r="D449" t="s">
        <v>86</v>
      </c>
      <c r="E449" t="s">
        <v>16</v>
      </c>
      <c r="F449" t="s">
        <v>170</v>
      </c>
      <c r="G449">
        <v>1</v>
      </c>
      <c r="H449" t="s">
        <v>778</v>
      </c>
      <c r="J449" t="s">
        <v>60</v>
      </c>
      <c r="K449" t="s">
        <v>72</v>
      </c>
      <c r="M449" t="s">
        <v>67</v>
      </c>
    </row>
    <row r="450" spans="1:13" x14ac:dyDescent="0.35">
      <c r="A450">
        <v>5257</v>
      </c>
      <c r="B450" t="s">
        <v>23</v>
      </c>
      <c r="C450" t="s">
        <v>543</v>
      </c>
      <c r="D450" t="s">
        <v>25</v>
      </c>
      <c r="E450" t="s">
        <v>16</v>
      </c>
      <c r="F450" t="s">
        <v>82</v>
      </c>
      <c r="G450">
        <v>4</v>
      </c>
      <c r="H450" t="s">
        <v>18</v>
      </c>
      <c r="I450" t="s">
        <v>29</v>
      </c>
      <c r="J450" t="s">
        <v>47</v>
      </c>
      <c r="K450" t="s">
        <v>38</v>
      </c>
      <c r="M450" t="s">
        <v>73</v>
      </c>
    </row>
    <row r="451" spans="1:13" x14ac:dyDescent="0.35">
      <c r="A451">
        <v>5318</v>
      </c>
      <c r="B451" t="s">
        <v>74</v>
      </c>
      <c r="C451" t="s">
        <v>779</v>
      </c>
      <c r="D451" t="s">
        <v>76</v>
      </c>
      <c r="E451" t="s">
        <v>26</v>
      </c>
      <c r="F451" t="s">
        <v>27</v>
      </c>
      <c r="G451">
        <v>5</v>
      </c>
      <c r="H451" t="s">
        <v>780</v>
      </c>
      <c r="J451" t="s">
        <v>20</v>
      </c>
      <c r="K451" t="s">
        <v>72</v>
      </c>
      <c r="M451" t="s">
        <v>31</v>
      </c>
    </row>
    <row r="452" spans="1:13" x14ac:dyDescent="0.35">
      <c r="A452">
        <v>5335</v>
      </c>
      <c r="B452" t="s">
        <v>32</v>
      </c>
      <c r="C452" t="s">
        <v>175</v>
      </c>
      <c r="D452" t="s">
        <v>76</v>
      </c>
      <c r="E452" t="s">
        <v>35</v>
      </c>
      <c r="F452" t="s">
        <v>36</v>
      </c>
      <c r="G452">
        <v>1</v>
      </c>
      <c r="H452" t="s">
        <v>18</v>
      </c>
      <c r="I452" t="s">
        <v>19</v>
      </c>
      <c r="J452" t="s">
        <v>78</v>
      </c>
      <c r="K452" t="s">
        <v>72</v>
      </c>
      <c r="M452" t="s">
        <v>39</v>
      </c>
    </row>
    <row r="453" spans="1:13" x14ac:dyDescent="0.35">
      <c r="A453">
        <v>5316</v>
      </c>
      <c r="B453" t="s">
        <v>13</v>
      </c>
      <c r="C453" t="s">
        <v>363</v>
      </c>
      <c r="D453" t="s">
        <v>34</v>
      </c>
      <c r="E453" t="s">
        <v>16</v>
      </c>
      <c r="F453" t="s">
        <v>170</v>
      </c>
      <c r="G453">
        <v>1</v>
      </c>
      <c r="H453" t="s">
        <v>364</v>
      </c>
      <c r="I453" t="s">
        <v>71</v>
      </c>
      <c r="J453" t="s">
        <v>78</v>
      </c>
      <c r="K453" t="s">
        <v>44</v>
      </c>
      <c r="M453" t="s">
        <v>39</v>
      </c>
    </row>
    <row r="454" spans="1:13" x14ac:dyDescent="0.35">
      <c r="A454">
        <v>5306</v>
      </c>
      <c r="B454" t="s">
        <v>129</v>
      </c>
      <c r="C454" t="s">
        <v>537</v>
      </c>
      <c r="D454" t="s">
        <v>34</v>
      </c>
      <c r="E454" t="s">
        <v>64</v>
      </c>
      <c r="F454" t="s">
        <v>65</v>
      </c>
      <c r="G454">
        <v>5</v>
      </c>
      <c r="H454" t="s">
        <v>18</v>
      </c>
      <c r="J454" t="s">
        <v>20</v>
      </c>
      <c r="K454" t="s">
        <v>72</v>
      </c>
      <c r="M454" t="s">
        <v>79</v>
      </c>
    </row>
    <row r="455" spans="1:13" x14ac:dyDescent="0.35">
      <c r="A455">
        <v>5196</v>
      </c>
      <c r="B455" t="s">
        <v>23</v>
      </c>
      <c r="C455" t="s">
        <v>781</v>
      </c>
      <c r="D455" t="s">
        <v>108</v>
      </c>
      <c r="E455" t="s">
        <v>16</v>
      </c>
      <c r="F455" t="s">
        <v>42</v>
      </c>
      <c r="G455">
        <v>2</v>
      </c>
      <c r="H455" t="s">
        <v>782</v>
      </c>
      <c r="I455" t="s">
        <v>71</v>
      </c>
      <c r="J455" t="s">
        <v>114</v>
      </c>
      <c r="K455" t="s">
        <v>61</v>
      </c>
      <c r="M455" t="s">
        <v>39</v>
      </c>
    </row>
    <row r="456" spans="1:13" x14ac:dyDescent="0.35">
      <c r="A456">
        <v>5359</v>
      </c>
      <c r="B456" t="s">
        <v>100</v>
      </c>
      <c r="C456" t="s">
        <v>783</v>
      </c>
      <c r="D456" t="s">
        <v>34</v>
      </c>
      <c r="E456" t="s">
        <v>64</v>
      </c>
      <c r="F456" t="s">
        <v>141</v>
      </c>
      <c r="G456">
        <v>5</v>
      </c>
      <c r="H456" t="s">
        <v>784</v>
      </c>
      <c r="I456" t="s">
        <v>29</v>
      </c>
      <c r="J456" t="s">
        <v>78</v>
      </c>
      <c r="K456" t="s">
        <v>21</v>
      </c>
    </row>
    <row r="457" spans="1:13" x14ac:dyDescent="0.35">
      <c r="A457">
        <v>5192</v>
      </c>
      <c r="B457" t="s">
        <v>126</v>
      </c>
      <c r="C457" t="s">
        <v>252</v>
      </c>
      <c r="D457" t="s">
        <v>86</v>
      </c>
      <c r="E457" t="s">
        <v>35</v>
      </c>
      <c r="F457" t="s">
        <v>36</v>
      </c>
      <c r="G457">
        <v>5</v>
      </c>
      <c r="H457" t="s">
        <v>785</v>
      </c>
      <c r="J457" t="s">
        <v>47</v>
      </c>
      <c r="K457" t="s">
        <v>72</v>
      </c>
      <c r="M457" t="s">
        <v>67</v>
      </c>
    </row>
    <row r="458" spans="1:13" x14ac:dyDescent="0.35">
      <c r="A458">
        <v>5016</v>
      </c>
      <c r="B458" t="s">
        <v>88</v>
      </c>
      <c r="C458" t="s">
        <v>786</v>
      </c>
      <c r="D458" t="s">
        <v>25</v>
      </c>
      <c r="E458" t="s">
        <v>35</v>
      </c>
      <c r="F458" t="s">
        <v>99</v>
      </c>
      <c r="G458">
        <v>2</v>
      </c>
      <c r="H458" t="s">
        <v>787</v>
      </c>
      <c r="I458" t="s">
        <v>54</v>
      </c>
      <c r="J458" t="s">
        <v>114</v>
      </c>
      <c r="K458" t="s">
        <v>48</v>
      </c>
      <c r="M458" t="s">
        <v>73</v>
      </c>
    </row>
    <row r="459" spans="1:13" x14ac:dyDescent="0.35">
      <c r="A459">
        <v>5201</v>
      </c>
      <c r="B459" t="s">
        <v>151</v>
      </c>
      <c r="C459" t="s">
        <v>788</v>
      </c>
      <c r="D459" t="s">
        <v>108</v>
      </c>
      <c r="E459" t="s">
        <v>35</v>
      </c>
      <c r="F459" t="s">
        <v>58</v>
      </c>
      <c r="G459">
        <v>5</v>
      </c>
      <c r="H459" t="s">
        <v>789</v>
      </c>
      <c r="J459" t="s">
        <v>87</v>
      </c>
      <c r="K459" t="s">
        <v>44</v>
      </c>
      <c r="M459" t="s">
        <v>67</v>
      </c>
    </row>
    <row r="460" spans="1:13" x14ac:dyDescent="0.35">
      <c r="A460">
        <v>5469</v>
      </c>
      <c r="B460" t="s">
        <v>32</v>
      </c>
      <c r="C460" t="s">
        <v>790</v>
      </c>
      <c r="D460" t="s">
        <v>15</v>
      </c>
      <c r="E460" t="s">
        <v>16</v>
      </c>
      <c r="F460" t="s">
        <v>170</v>
      </c>
      <c r="G460">
        <v>1</v>
      </c>
      <c r="H460" t="s">
        <v>791</v>
      </c>
      <c r="I460" t="s">
        <v>71</v>
      </c>
      <c r="J460" t="s">
        <v>60</v>
      </c>
      <c r="K460" t="s">
        <v>48</v>
      </c>
    </row>
    <row r="461" spans="1:13" x14ac:dyDescent="0.35">
      <c r="A461">
        <v>5083</v>
      </c>
      <c r="B461" t="s">
        <v>102</v>
      </c>
      <c r="C461" t="s">
        <v>755</v>
      </c>
      <c r="D461" t="s">
        <v>86</v>
      </c>
      <c r="E461" t="s">
        <v>64</v>
      </c>
      <c r="F461" t="s">
        <v>133</v>
      </c>
      <c r="H461" t="s">
        <v>756</v>
      </c>
      <c r="I461" t="s">
        <v>43</v>
      </c>
      <c r="J461" t="s">
        <v>87</v>
      </c>
      <c r="K461" t="s">
        <v>72</v>
      </c>
      <c r="M461" t="s">
        <v>31</v>
      </c>
    </row>
    <row r="462" spans="1:13" x14ac:dyDescent="0.35">
      <c r="A462">
        <v>5391</v>
      </c>
      <c r="B462" t="s">
        <v>102</v>
      </c>
      <c r="C462" t="s">
        <v>792</v>
      </c>
      <c r="D462" t="s">
        <v>51</v>
      </c>
      <c r="E462" t="s">
        <v>16</v>
      </c>
      <c r="F462" t="s">
        <v>109</v>
      </c>
      <c r="H462" t="s">
        <v>793</v>
      </c>
      <c r="I462" t="s">
        <v>54</v>
      </c>
      <c r="J462" t="s">
        <v>78</v>
      </c>
      <c r="K462" t="s">
        <v>21</v>
      </c>
      <c r="M462" t="s">
        <v>79</v>
      </c>
    </row>
    <row r="463" spans="1:13" x14ac:dyDescent="0.35">
      <c r="A463">
        <v>5128</v>
      </c>
      <c r="B463" t="s">
        <v>62</v>
      </c>
      <c r="C463" t="s">
        <v>794</v>
      </c>
      <c r="D463" t="s">
        <v>108</v>
      </c>
      <c r="E463" t="s">
        <v>26</v>
      </c>
      <c r="F463" t="s">
        <v>112</v>
      </c>
      <c r="H463" t="s">
        <v>795</v>
      </c>
      <c r="I463" t="s">
        <v>71</v>
      </c>
      <c r="J463" t="s">
        <v>47</v>
      </c>
      <c r="K463" t="s">
        <v>48</v>
      </c>
      <c r="M463" t="s">
        <v>73</v>
      </c>
    </row>
    <row r="464" spans="1:13" x14ac:dyDescent="0.35">
      <c r="A464">
        <v>5184</v>
      </c>
      <c r="B464" t="s">
        <v>23</v>
      </c>
      <c r="C464" t="s">
        <v>224</v>
      </c>
      <c r="D464" t="s">
        <v>51</v>
      </c>
      <c r="E464" t="s">
        <v>16</v>
      </c>
      <c r="F464" t="s">
        <v>109</v>
      </c>
      <c r="H464" t="s">
        <v>796</v>
      </c>
      <c r="I464" t="s">
        <v>54</v>
      </c>
      <c r="J464" t="s">
        <v>87</v>
      </c>
      <c r="K464" t="s">
        <v>61</v>
      </c>
    </row>
    <row r="465" spans="1:13" x14ac:dyDescent="0.35">
      <c r="A465">
        <v>5244</v>
      </c>
      <c r="B465" t="s">
        <v>23</v>
      </c>
      <c r="C465" t="s">
        <v>372</v>
      </c>
      <c r="D465" t="s">
        <v>34</v>
      </c>
      <c r="E465" t="s">
        <v>35</v>
      </c>
      <c r="F465" t="s">
        <v>58</v>
      </c>
      <c r="G465">
        <v>3</v>
      </c>
      <c r="H465" t="s">
        <v>797</v>
      </c>
      <c r="I465" t="s">
        <v>19</v>
      </c>
      <c r="J465" t="s">
        <v>20</v>
      </c>
      <c r="K465" t="s">
        <v>21</v>
      </c>
      <c r="M465" t="s">
        <v>31</v>
      </c>
    </row>
    <row r="466" spans="1:13" x14ac:dyDescent="0.35">
      <c r="A466">
        <v>5281</v>
      </c>
      <c r="B466" t="s">
        <v>88</v>
      </c>
      <c r="C466" t="s">
        <v>798</v>
      </c>
      <c r="D466" t="s">
        <v>108</v>
      </c>
      <c r="E466" t="s">
        <v>35</v>
      </c>
      <c r="F466" t="s">
        <v>36</v>
      </c>
      <c r="G466">
        <v>1</v>
      </c>
      <c r="H466" t="s">
        <v>799</v>
      </c>
      <c r="I466" t="s">
        <v>43</v>
      </c>
      <c r="J466" t="s">
        <v>87</v>
      </c>
      <c r="K466" t="s">
        <v>72</v>
      </c>
      <c r="M466" t="s">
        <v>73</v>
      </c>
    </row>
    <row r="467" spans="1:13" x14ac:dyDescent="0.35">
      <c r="A467">
        <v>5261</v>
      </c>
      <c r="B467" t="s">
        <v>40</v>
      </c>
      <c r="C467" t="s">
        <v>800</v>
      </c>
      <c r="D467" t="s">
        <v>108</v>
      </c>
      <c r="E467" t="s">
        <v>64</v>
      </c>
      <c r="F467" t="s">
        <v>141</v>
      </c>
      <c r="G467">
        <v>1</v>
      </c>
      <c r="H467" t="s">
        <v>18</v>
      </c>
      <c r="I467" t="s">
        <v>54</v>
      </c>
      <c r="J467" t="s">
        <v>110</v>
      </c>
      <c r="K467" t="s">
        <v>61</v>
      </c>
    </row>
    <row r="468" spans="1:13" x14ac:dyDescent="0.35">
      <c r="A468">
        <v>5482</v>
      </c>
      <c r="B468" t="s">
        <v>126</v>
      </c>
      <c r="C468" t="s">
        <v>353</v>
      </c>
      <c r="D468" t="s">
        <v>15</v>
      </c>
      <c r="E468" t="s">
        <v>16</v>
      </c>
      <c r="F468" t="s">
        <v>109</v>
      </c>
      <c r="G468">
        <v>5</v>
      </c>
      <c r="H468" t="s">
        <v>801</v>
      </c>
      <c r="I468" t="s">
        <v>71</v>
      </c>
      <c r="J468" t="s">
        <v>87</v>
      </c>
      <c r="K468" t="s">
        <v>44</v>
      </c>
      <c r="M468" t="s">
        <v>31</v>
      </c>
    </row>
    <row r="469" spans="1:13" x14ac:dyDescent="0.35">
      <c r="A469">
        <v>5320</v>
      </c>
      <c r="B469" t="s">
        <v>120</v>
      </c>
      <c r="C469" t="s">
        <v>277</v>
      </c>
      <c r="D469" t="s">
        <v>86</v>
      </c>
      <c r="E469" t="s">
        <v>16</v>
      </c>
      <c r="F469" t="s">
        <v>82</v>
      </c>
      <c r="G469">
        <v>3</v>
      </c>
      <c r="H469" t="s">
        <v>802</v>
      </c>
      <c r="I469" t="s">
        <v>54</v>
      </c>
      <c r="J469" t="s">
        <v>110</v>
      </c>
      <c r="K469" t="s">
        <v>84</v>
      </c>
      <c r="M469" t="s">
        <v>79</v>
      </c>
    </row>
    <row r="470" spans="1:13" x14ac:dyDescent="0.35">
      <c r="A470">
        <v>5045</v>
      </c>
      <c r="B470" t="s">
        <v>88</v>
      </c>
      <c r="C470" t="s">
        <v>533</v>
      </c>
      <c r="D470" t="s">
        <v>86</v>
      </c>
      <c r="E470" t="s">
        <v>16</v>
      </c>
      <c r="F470" t="s">
        <v>42</v>
      </c>
      <c r="H470" t="s">
        <v>803</v>
      </c>
      <c r="I470" t="s">
        <v>71</v>
      </c>
      <c r="J470" t="s">
        <v>30</v>
      </c>
      <c r="K470" t="s">
        <v>61</v>
      </c>
      <c r="M470" t="s">
        <v>31</v>
      </c>
    </row>
    <row r="471" spans="1:13" x14ac:dyDescent="0.35">
      <c r="A471">
        <v>5102</v>
      </c>
      <c r="B471" t="s">
        <v>102</v>
      </c>
      <c r="C471" t="s">
        <v>804</v>
      </c>
      <c r="D471" t="s">
        <v>25</v>
      </c>
      <c r="E471" t="s">
        <v>64</v>
      </c>
      <c r="F471" t="s">
        <v>65</v>
      </c>
      <c r="G471">
        <v>3</v>
      </c>
      <c r="H471" t="s">
        <v>805</v>
      </c>
      <c r="J471" t="s">
        <v>20</v>
      </c>
      <c r="K471" t="s">
        <v>84</v>
      </c>
      <c r="M471" t="s">
        <v>67</v>
      </c>
    </row>
    <row r="472" spans="1:13" x14ac:dyDescent="0.35">
      <c r="A472">
        <v>5182</v>
      </c>
      <c r="B472" t="s">
        <v>74</v>
      </c>
      <c r="C472" t="s">
        <v>806</v>
      </c>
      <c r="D472" t="s">
        <v>34</v>
      </c>
      <c r="E472" t="s">
        <v>64</v>
      </c>
      <c r="F472" t="s">
        <v>77</v>
      </c>
      <c r="H472" t="s">
        <v>807</v>
      </c>
      <c r="J472" t="s">
        <v>78</v>
      </c>
      <c r="K472" t="s">
        <v>61</v>
      </c>
      <c r="M472" t="s">
        <v>73</v>
      </c>
    </row>
    <row r="473" spans="1:13" x14ac:dyDescent="0.35">
      <c r="A473">
        <v>5165</v>
      </c>
      <c r="B473" t="s">
        <v>117</v>
      </c>
      <c r="C473" t="s">
        <v>808</v>
      </c>
      <c r="D473" t="s">
        <v>51</v>
      </c>
      <c r="E473" t="s">
        <v>64</v>
      </c>
      <c r="F473" t="s">
        <v>141</v>
      </c>
      <c r="G473">
        <v>2</v>
      </c>
      <c r="H473" t="s">
        <v>809</v>
      </c>
      <c r="I473" t="s">
        <v>54</v>
      </c>
      <c r="J473" t="s">
        <v>20</v>
      </c>
      <c r="K473" t="s">
        <v>38</v>
      </c>
      <c r="M473" t="s">
        <v>39</v>
      </c>
    </row>
    <row r="474" spans="1:13" x14ac:dyDescent="0.35">
      <c r="A474">
        <v>5002</v>
      </c>
      <c r="B474" t="s">
        <v>88</v>
      </c>
      <c r="C474" t="s">
        <v>316</v>
      </c>
      <c r="D474" t="s">
        <v>76</v>
      </c>
      <c r="E474" t="s">
        <v>26</v>
      </c>
      <c r="F474" t="s">
        <v>167</v>
      </c>
      <c r="G474">
        <v>1</v>
      </c>
      <c r="H474" t="s">
        <v>18</v>
      </c>
      <c r="I474" t="s">
        <v>54</v>
      </c>
      <c r="J474" t="s">
        <v>110</v>
      </c>
      <c r="K474" t="s">
        <v>38</v>
      </c>
      <c r="M474" t="s">
        <v>31</v>
      </c>
    </row>
    <row r="475" spans="1:13" x14ac:dyDescent="0.35">
      <c r="A475">
        <v>5202</v>
      </c>
      <c r="B475" t="s">
        <v>129</v>
      </c>
      <c r="C475" t="s">
        <v>810</v>
      </c>
      <c r="D475" t="s">
        <v>76</v>
      </c>
      <c r="E475" t="s">
        <v>64</v>
      </c>
      <c r="F475" t="s">
        <v>77</v>
      </c>
      <c r="G475">
        <v>4</v>
      </c>
      <c r="H475" t="s">
        <v>811</v>
      </c>
      <c r="I475" t="s">
        <v>43</v>
      </c>
      <c r="J475" t="s">
        <v>30</v>
      </c>
      <c r="K475" t="s">
        <v>61</v>
      </c>
      <c r="M475" t="s">
        <v>79</v>
      </c>
    </row>
    <row r="476" spans="1:13" x14ac:dyDescent="0.35">
      <c r="A476">
        <v>5250</v>
      </c>
      <c r="B476" t="s">
        <v>88</v>
      </c>
      <c r="C476" t="s">
        <v>719</v>
      </c>
      <c r="D476" t="s">
        <v>57</v>
      </c>
      <c r="E476" t="s">
        <v>16</v>
      </c>
      <c r="F476" t="s">
        <v>17</v>
      </c>
      <c r="G476">
        <v>3</v>
      </c>
      <c r="H476" t="s">
        <v>18</v>
      </c>
      <c r="I476" t="s">
        <v>43</v>
      </c>
      <c r="J476" t="s">
        <v>30</v>
      </c>
      <c r="K476" t="s">
        <v>61</v>
      </c>
    </row>
    <row r="477" spans="1:13" x14ac:dyDescent="0.35">
      <c r="A477">
        <v>5028</v>
      </c>
      <c r="B477" t="s">
        <v>102</v>
      </c>
      <c r="C477" t="s">
        <v>812</v>
      </c>
      <c r="D477" t="s">
        <v>76</v>
      </c>
      <c r="E477" t="s">
        <v>16</v>
      </c>
      <c r="F477" t="s">
        <v>42</v>
      </c>
      <c r="G477">
        <v>1</v>
      </c>
      <c r="H477" t="s">
        <v>813</v>
      </c>
      <c r="I477" t="s">
        <v>18</v>
      </c>
      <c r="J477" t="s">
        <v>47</v>
      </c>
      <c r="K477" t="s">
        <v>21</v>
      </c>
      <c r="M477" t="s">
        <v>79</v>
      </c>
    </row>
    <row r="478" spans="1:13" x14ac:dyDescent="0.35">
      <c r="A478">
        <v>5238</v>
      </c>
      <c r="B478" t="s">
        <v>102</v>
      </c>
      <c r="C478" t="s">
        <v>814</v>
      </c>
      <c r="D478" t="s">
        <v>108</v>
      </c>
      <c r="E478" t="s">
        <v>35</v>
      </c>
      <c r="F478" t="s">
        <v>136</v>
      </c>
      <c r="G478">
        <v>4</v>
      </c>
      <c r="H478" t="s">
        <v>815</v>
      </c>
      <c r="I478" t="s">
        <v>43</v>
      </c>
      <c r="J478" t="s">
        <v>87</v>
      </c>
      <c r="K478" t="s">
        <v>84</v>
      </c>
    </row>
    <row r="479" spans="1:13" x14ac:dyDescent="0.35">
      <c r="A479">
        <v>5495</v>
      </c>
      <c r="B479" t="s">
        <v>126</v>
      </c>
      <c r="C479" t="s">
        <v>557</v>
      </c>
      <c r="D479" t="s">
        <v>76</v>
      </c>
      <c r="E479" t="s">
        <v>35</v>
      </c>
      <c r="F479" t="s">
        <v>36</v>
      </c>
      <c r="G479">
        <v>5</v>
      </c>
      <c r="H479" t="s">
        <v>816</v>
      </c>
      <c r="I479" t="s">
        <v>71</v>
      </c>
      <c r="J479" t="s">
        <v>78</v>
      </c>
      <c r="K479" t="s">
        <v>44</v>
      </c>
      <c r="M479" t="s">
        <v>31</v>
      </c>
    </row>
    <row r="480" spans="1:13" x14ac:dyDescent="0.35">
      <c r="A480">
        <v>5145</v>
      </c>
      <c r="B480" t="s">
        <v>74</v>
      </c>
      <c r="C480" t="s">
        <v>817</v>
      </c>
      <c r="D480" t="s">
        <v>57</v>
      </c>
      <c r="E480" t="s">
        <v>16</v>
      </c>
      <c r="F480" t="s">
        <v>82</v>
      </c>
      <c r="H480" t="s">
        <v>818</v>
      </c>
      <c r="J480" t="s">
        <v>110</v>
      </c>
      <c r="K480" t="s">
        <v>48</v>
      </c>
      <c r="M480" t="s">
        <v>73</v>
      </c>
    </row>
    <row r="481" spans="1:13" x14ac:dyDescent="0.35">
      <c r="A481">
        <v>5181</v>
      </c>
      <c r="B481" t="s">
        <v>32</v>
      </c>
      <c r="C481" t="s">
        <v>166</v>
      </c>
      <c r="D481" t="s">
        <v>108</v>
      </c>
      <c r="E481" t="s">
        <v>26</v>
      </c>
      <c r="F481" t="s">
        <v>27</v>
      </c>
      <c r="G481">
        <v>3</v>
      </c>
      <c r="H481" t="s">
        <v>819</v>
      </c>
      <c r="I481" t="s">
        <v>19</v>
      </c>
      <c r="J481" t="s">
        <v>114</v>
      </c>
      <c r="K481" t="s">
        <v>61</v>
      </c>
      <c r="M481" t="s">
        <v>67</v>
      </c>
    </row>
    <row r="482" spans="1:13" x14ac:dyDescent="0.35">
      <c r="A482">
        <v>5498</v>
      </c>
      <c r="B482" t="s">
        <v>74</v>
      </c>
      <c r="C482" t="s">
        <v>820</v>
      </c>
      <c r="D482" t="s">
        <v>108</v>
      </c>
      <c r="E482" t="s">
        <v>16</v>
      </c>
      <c r="F482" t="s">
        <v>42</v>
      </c>
      <c r="G482">
        <v>4</v>
      </c>
      <c r="H482" t="s">
        <v>18</v>
      </c>
      <c r="I482" t="s">
        <v>54</v>
      </c>
      <c r="J482" t="s">
        <v>20</v>
      </c>
      <c r="K482" t="s">
        <v>48</v>
      </c>
    </row>
    <row r="483" spans="1:13" x14ac:dyDescent="0.35">
      <c r="A483">
        <v>5010</v>
      </c>
      <c r="B483" t="s">
        <v>74</v>
      </c>
      <c r="C483" t="s">
        <v>821</v>
      </c>
      <c r="D483" t="s">
        <v>51</v>
      </c>
      <c r="E483" t="s">
        <v>16</v>
      </c>
      <c r="F483" t="s">
        <v>42</v>
      </c>
      <c r="G483">
        <v>1</v>
      </c>
      <c r="H483" t="s">
        <v>822</v>
      </c>
      <c r="I483" t="s">
        <v>29</v>
      </c>
      <c r="J483" t="s">
        <v>114</v>
      </c>
      <c r="K483" t="s">
        <v>61</v>
      </c>
      <c r="M483" t="s">
        <v>31</v>
      </c>
    </row>
    <row r="484" spans="1:13" x14ac:dyDescent="0.35">
      <c r="A484">
        <v>5241</v>
      </c>
      <c r="B484" t="s">
        <v>129</v>
      </c>
      <c r="C484" t="s">
        <v>823</v>
      </c>
      <c r="D484" t="s">
        <v>51</v>
      </c>
      <c r="E484" t="s">
        <v>35</v>
      </c>
      <c r="F484" t="s">
        <v>155</v>
      </c>
      <c r="G484">
        <v>4</v>
      </c>
      <c r="H484" t="s">
        <v>824</v>
      </c>
      <c r="I484" t="s">
        <v>43</v>
      </c>
      <c r="J484" t="s">
        <v>60</v>
      </c>
      <c r="K484" t="s">
        <v>84</v>
      </c>
    </row>
    <row r="485" spans="1:13" x14ac:dyDescent="0.35">
      <c r="A485">
        <v>5216</v>
      </c>
      <c r="B485" t="s">
        <v>74</v>
      </c>
      <c r="C485" t="s">
        <v>825</v>
      </c>
      <c r="D485" t="s">
        <v>34</v>
      </c>
      <c r="E485" t="s">
        <v>64</v>
      </c>
      <c r="F485" t="s">
        <v>116</v>
      </c>
      <c r="G485">
        <v>2</v>
      </c>
      <c r="H485" t="s">
        <v>826</v>
      </c>
      <c r="I485" t="s">
        <v>43</v>
      </c>
      <c r="J485" t="s">
        <v>20</v>
      </c>
      <c r="K485" t="s">
        <v>61</v>
      </c>
      <c r="M485" t="s">
        <v>22</v>
      </c>
    </row>
    <row r="486" spans="1:13" x14ac:dyDescent="0.35">
      <c r="A486">
        <v>5471</v>
      </c>
      <c r="B486" t="s">
        <v>88</v>
      </c>
      <c r="C486" t="s">
        <v>827</v>
      </c>
      <c r="D486" t="s">
        <v>25</v>
      </c>
      <c r="E486" t="s">
        <v>26</v>
      </c>
      <c r="F486" t="s">
        <v>167</v>
      </c>
      <c r="G486">
        <v>1</v>
      </c>
      <c r="H486" t="s">
        <v>828</v>
      </c>
      <c r="J486" t="s">
        <v>30</v>
      </c>
      <c r="K486" t="s">
        <v>61</v>
      </c>
      <c r="M486" t="s">
        <v>39</v>
      </c>
    </row>
    <row r="487" spans="1:13" x14ac:dyDescent="0.35">
      <c r="A487">
        <v>5360</v>
      </c>
      <c r="B487" t="s">
        <v>96</v>
      </c>
      <c r="C487" t="s">
        <v>829</v>
      </c>
      <c r="D487" t="s">
        <v>51</v>
      </c>
      <c r="E487" t="s">
        <v>16</v>
      </c>
      <c r="F487" t="s">
        <v>170</v>
      </c>
      <c r="G487">
        <v>5</v>
      </c>
      <c r="H487" t="s">
        <v>830</v>
      </c>
      <c r="I487" t="s">
        <v>19</v>
      </c>
      <c r="J487" t="s">
        <v>30</v>
      </c>
      <c r="K487" t="s">
        <v>44</v>
      </c>
    </row>
    <row r="488" spans="1:13" x14ac:dyDescent="0.35">
      <c r="A488">
        <v>5284</v>
      </c>
      <c r="B488" t="s">
        <v>62</v>
      </c>
      <c r="C488" t="s">
        <v>831</v>
      </c>
      <c r="D488" t="s">
        <v>86</v>
      </c>
      <c r="E488" t="s">
        <v>35</v>
      </c>
      <c r="F488" t="s">
        <v>136</v>
      </c>
      <c r="G488">
        <v>2</v>
      </c>
      <c r="H488" t="s">
        <v>832</v>
      </c>
      <c r="I488" t="s">
        <v>54</v>
      </c>
      <c r="J488" t="s">
        <v>30</v>
      </c>
      <c r="K488" t="s">
        <v>48</v>
      </c>
      <c r="M488" t="s">
        <v>22</v>
      </c>
    </row>
    <row r="489" spans="1:13" x14ac:dyDescent="0.35">
      <c r="A489">
        <v>5249</v>
      </c>
      <c r="B489" t="s">
        <v>13</v>
      </c>
      <c r="C489" t="s">
        <v>833</v>
      </c>
      <c r="D489" t="s">
        <v>34</v>
      </c>
      <c r="E489" t="s">
        <v>16</v>
      </c>
      <c r="F489" t="s">
        <v>82</v>
      </c>
      <c r="G489">
        <v>1</v>
      </c>
      <c r="H489" t="s">
        <v>834</v>
      </c>
      <c r="I489" t="s">
        <v>18</v>
      </c>
      <c r="J489" t="s">
        <v>87</v>
      </c>
      <c r="K489" t="s">
        <v>21</v>
      </c>
      <c r="M489" t="s">
        <v>73</v>
      </c>
    </row>
    <row r="490" spans="1:13" x14ac:dyDescent="0.35">
      <c r="A490">
        <v>5474</v>
      </c>
      <c r="B490" t="s">
        <v>40</v>
      </c>
      <c r="C490" t="s">
        <v>484</v>
      </c>
      <c r="D490" t="s">
        <v>86</v>
      </c>
      <c r="E490" t="s">
        <v>64</v>
      </c>
      <c r="F490" t="s">
        <v>133</v>
      </c>
      <c r="H490" t="s">
        <v>18</v>
      </c>
      <c r="I490" t="s">
        <v>71</v>
      </c>
      <c r="J490" t="s">
        <v>30</v>
      </c>
      <c r="K490" t="s">
        <v>38</v>
      </c>
      <c r="M490" t="s">
        <v>39</v>
      </c>
    </row>
    <row r="491" spans="1:13" x14ac:dyDescent="0.35">
      <c r="A491">
        <v>5251</v>
      </c>
      <c r="B491" t="s">
        <v>32</v>
      </c>
      <c r="C491" t="s">
        <v>640</v>
      </c>
      <c r="D491" t="s">
        <v>34</v>
      </c>
      <c r="E491" t="s">
        <v>26</v>
      </c>
      <c r="F491" t="s">
        <v>52</v>
      </c>
      <c r="H491" t="s">
        <v>835</v>
      </c>
      <c r="J491" t="s">
        <v>110</v>
      </c>
      <c r="K491" t="s">
        <v>84</v>
      </c>
    </row>
    <row r="492" spans="1:13" x14ac:dyDescent="0.35">
      <c r="A492">
        <v>5294</v>
      </c>
      <c r="B492" t="s">
        <v>40</v>
      </c>
      <c r="C492" t="s">
        <v>836</v>
      </c>
      <c r="D492" t="s">
        <v>76</v>
      </c>
      <c r="E492" t="s">
        <v>16</v>
      </c>
      <c r="F492" t="s">
        <v>42</v>
      </c>
      <c r="H492" t="s">
        <v>837</v>
      </c>
      <c r="I492" t="s">
        <v>19</v>
      </c>
      <c r="J492" t="s">
        <v>153</v>
      </c>
      <c r="K492" t="s">
        <v>72</v>
      </c>
      <c r="M492" t="s">
        <v>31</v>
      </c>
    </row>
    <row r="493" spans="1:13" x14ac:dyDescent="0.35">
      <c r="A493">
        <v>5331</v>
      </c>
      <c r="B493" t="s">
        <v>62</v>
      </c>
      <c r="C493" t="s">
        <v>385</v>
      </c>
      <c r="D493" t="s">
        <v>57</v>
      </c>
      <c r="E493" t="s">
        <v>16</v>
      </c>
      <c r="F493" t="s">
        <v>42</v>
      </c>
      <c r="G493">
        <v>5</v>
      </c>
      <c r="H493" t="s">
        <v>838</v>
      </c>
      <c r="I493" t="s">
        <v>29</v>
      </c>
      <c r="J493" t="s">
        <v>110</v>
      </c>
      <c r="K493" t="s">
        <v>72</v>
      </c>
      <c r="M493" t="s">
        <v>73</v>
      </c>
    </row>
    <row r="494" spans="1:13" x14ac:dyDescent="0.35">
      <c r="A494">
        <v>5328</v>
      </c>
      <c r="B494" t="s">
        <v>210</v>
      </c>
      <c r="C494" t="s">
        <v>295</v>
      </c>
      <c r="D494" t="s">
        <v>25</v>
      </c>
      <c r="E494" t="s">
        <v>64</v>
      </c>
      <c r="F494" t="s">
        <v>77</v>
      </c>
      <c r="G494">
        <v>2</v>
      </c>
      <c r="H494" t="s">
        <v>839</v>
      </c>
      <c r="I494" t="s">
        <v>43</v>
      </c>
      <c r="J494" t="s">
        <v>110</v>
      </c>
      <c r="K494" t="s">
        <v>44</v>
      </c>
      <c r="M494" t="s">
        <v>79</v>
      </c>
    </row>
    <row r="495" spans="1:13" x14ac:dyDescent="0.35">
      <c r="A495">
        <v>5155</v>
      </c>
      <c r="B495" t="s">
        <v>129</v>
      </c>
      <c r="C495" t="s">
        <v>512</v>
      </c>
      <c r="D495" t="s">
        <v>51</v>
      </c>
      <c r="E495" t="s">
        <v>16</v>
      </c>
      <c r="F495" t="s">
        <v>42</v>
      </c>
      <c r="H495" t="s">
        <v>840</v>
      </c>
      <c r="I495" t="s">
        <v>29</v>
      </c>
      <c r="J495" t="s">
        <v>78</v>
      </c>
      <c r="K495" t="s">
        <v>44</v>
      </c>
    </row>
    <row r="496" spans="1:13" x14ac:dyDescent="0.35">
      <c r="A496">
        <v>5017</v>
      </c>
      <c r="B496" t="s">
        <v>32</v>
      </c>
      <c r="C496" t="s">
        <v>656</v>
      </c>
      <c r="D496" t="s">
        <v>15</v>
      </c>
      <c r="E496" t="s">
        <v>26</v>
      </c>
      <c r="F496" t="s">
        <v>112</v>
      </c>
      <c r="G496">
        <v>5</v>
      </c>
      <c r="H496" t="s">
        <v>841</v>
      </c>
      <c r="I496" t="s">
        <v>18</v>
      </c>
      <c r="J496" t="s">
        <v>153</v>
      </c>
      <c r="K496" t="s">
        <v>48</v>
      </c>
      <c r="M496" t="s">
        <v>31</v>
      </c>
    </row>
    <row r="497" spans="1:13" x14ac:dyDescent="0.35">
      <c r="A497">
        <v>5440</v>
      </c>
      <c r="B497" t="s">
        <v>210</v>
      </c>
      <c r="C497" t="s">
        <v>297</v>
      </c>
      <c r="D497" t="s">
        <v>57</v>
      </c>
      <c r="E497" t="s">
        <v>64</v>
      </c>
      <c r="F497" t="s">
        <v>65</v>
      </c>
      <c r="G497">
        <v>3</v>
      </c>
      <c r="H497" t="s">
        <v>842</v>
      </c>
      <c r="I497" t="s">
        <v>54</v>
      </c>
      <c r="J497" t="s">
        <v>153</v>
      </c>
      <c r="K497" t="s">
        <v>21</v>
      </c>
      <c r="M497" t="s">
        <v>79</v>
      </c>
    </row>
    <row r="498" spans="1:13" x14ac:dyDescent="0.35">
      <c r="A498">
        <v>5132</v>
      </c>
      <c r="B498" t="s">
        <v>102</v>
      </c>
      <c r="C498" t="s">
        <v>843</v>
      </c>
      <c r="D498" t="s">
        <v>76</v>
      </c>
      <c r="E498" t="s">
        <v>64</v>
      </c>
      <c r="F498" t="s">
        <v>133</v>
      </c>
      <c r="G498">
        <v>1</v>
      </c>
      <c r="H498" t="s">
        <v>844</v>
      </c>
      <c r="I498" t="s">
        <v>54</v>
      </c>
      <c r="J498" t="s">
        <v>153</v>
      </c>
      <c r="K498" t="s">
        <v>84</v>
      </c>
      <c r="M498" t="s">
        <v>22</v>
      </c>
    </row>
    <row r="499" spans="1:13" x14ac:dyDescent="0.35">
      <c r="A499">
        <v>5265</v>
      </c>
      <c r="B499" t="s">
        <v>23</v>
      </c>
      <c r="C499" t="s">
        <v>845</v>
      </c>
      <c r="D499" t="s">
        <v>98</v>
      </c>
      <c r="E499" t="s">
        <v>16</v>
      </c>
      <c r="F499" t="s">
        <v>109</v>
      </c>
      <c r="H499" t="s">
        <v>846</v>
      </c>
      <c r="J499" t="s">
        <v>78</v>
      </c>
      <c r="K499" t="s">
        <v>44</v>
      </c>
      <c r="M499" t="s">
        <v>39</v>
      </c>
    </row>
    <row r="500" spans="1:13" x14ac:dyDescent="0.35">
      <c r="A500">
        <v>5112</v>
      </c>
      <c r="B500" t="s">
        <v>68</v>
      </c>
      <c r="C500" t="s">
        <v>847</v>
      </c>
      <c r="D500" t="s">
        <v>25</v>
      </c>
      <c r="E500" t="s">
        <v>26</v>
      </c>
      <c r="F500" t="s">
        <v>27</v>
      </c>
      <c r="H500" t="s">
        <v>848</v>
      </c>
      <c r="I500" t="s">
        <v>29</v>
      </c>
      <c r="J500" t="s">
        <v>60</v>
      </c>
      <c r="K500" t="s">
        <v>84</v>
      </c>
      <c r="M500" t="s">
        <v>67</v>
      </c>
    </row>
    <row r="501" spans="1:13" x14ac:dyDescent="0.35">
      <c r="A501">
        <v>5060</v>
      </c>
      <c r="B501" t="s">
        <v>13</v>
      </c>
      <c r="C501" t="s">
        <v>849</v>
      </c>
      <c r="D501" t="s">
        <v>86</v>
      </c>
      <c r="E501" t="s">
        <v>16</v>
      </c>
      <c r="F501" t="s">
        <v>17</v>
      </c>
      <c r="G501">
        <v>1</v>
      </c>
      <c r="H501" t="s">
        <v>850</v>
      </c>
      <c r="I501" t="s">
        <v>29</v>
      </c>
      <c r="J501" t="s">
        <v>110</v>
      </c>
      <c r="K501" t="s">
        <v>38</v>
      </c>
      <c r="M501" t="s">
        <v>67</v>
      </c>
    </row>
    <row r="502" spans="1:13" x14ac:dyDescent="0.35">
      <c r="A502">
        <v>5053</v>
      </c>
      <c r="B502" t="s">
        <v>74</v>
      </c>
      <c r="C502" t="s">
        <v>851</v>
      </c>
      <c r="D502" t="s">
        <v>15</v>
      </c>
      <c r="E502" t="s">
        <v>64</v>
      </c>
      <c r="F502" t="s">
        <v>141</v>
      </c>
      <c r="H502" t="s">
        <v>852</v>
      </c>
      <c r="I502" t="s">
        <v>71</v>
      </c>
      <c r="J502" t="s">
        <v>47</v>
      </c>
      <c r="K502" t="s">
        <v>38</v>
      </c>
      <c r="M502" t="s">
        <v>22</v>
      </c>
    </row>
    <row r="503" spans="1:13" x14ac:dyDescent="0.35">
      <c r="A503">
        <v>5194</v>
      </c>
      <c r="B503" t="s">
        <v>55</v>
      </c>
      <c r="C503" t="s">
        <v>690</v>
      </c>
      <c r="D503" t="s">
        <v>15</v>
      </c>
      <c r="E503" t="s">
        <v>26</v>
      </c>
      <c r="F503" t="s">
        <v>46</v>
      </c>
      <c r="G503">
        <v>1</v>
      </c>
      <c r="H503" t="s">
        <v>691</v>
      </c>
      <c r="I503" t="s">
        <v>71</v>
      </c>
      <c r="J503" t="s">
        <v>153</v>
      </c>
      <c r="K503" t="s">
        <v>48</v>
      </c>
      <c r="M503" t="s">
        <v>31</v>
      </c>
    </row>
    <row r="504" spans="1:13" x14ac:dyDescent="0.35">
      <c r="A504">
        <v>5300</v>
      </c>
      <c r="B504" t="s">
        <v>23</v>
      </c>
      <c r="C504" t="s">
        <v>853</v>
      </c>
      <c r="D504" t="s">
        <v>15</v>
      </c>
      <c r="E504" t="s">
        <v>26</v>
      </c>
      <c r="F504" t="s">
        <v>27</v>
      </c>
      <c r="G504">
        <v>2</v>
      </c>
      <c r="H504" t="s">
        <v>854</v>
      </c>
      <c r="I504" t="s">
        <v>71</v>
      </c>
      <c r="J504" t="s">
        <v>30</v>
      </c>
      <c r="K504" t="s">
        <v>61</v>
      </c>
      <c r="M504" t="s">
        <v>39</v>
      </c>
    </row>
    <row r="505" spans="1:13" x14ac:dyDescent="0.35">
      <c r="A505">
        <v>5236</v>
      </c>
      <c r="B505" t="s">
        <v>102</v>
      </c>
      <c r="C505" t="s">
        <v>181</v>
      </c>
      <c r="D505" t="s">
        <v>76</v>
      </c>
      <c r="E505" t="s">
        <v>26</v>
      </c>
      <c r="F505" t="s">
        <v>112</v>
      </c>
      <c r="H505" t="s">
        <v>18</v>
      </c>
      <c r="I505" t="s">
        <v>43</v>
      </c>
      <c r="J505" t="s">
        <v>87</v>
      </c>
      <c r="K505" t="s">
        <v>21</v>
      </c>
      <c r="M505" t="s">
        <v>79</v>
      </c>
    </row>
    <row r="506" spans="1:13" x14ac:dyDescent="0.35">
      <c r="A506">
        <v>5349</v>
      </c>
      <c r="B506" t="s">
        <v>32</v>
      </c>
      <c r="C506" t="s">
        <v>855</v>
      </c>
      <c r="D506" t="s">
        <v>86</v>
      </c>
      <c r="E506" t="s">
        <v>35</v>
      </c>
      <c r="F506" t="s">
        <v>36</v>
      </c>
      <c r="G506">
        <v>1</v>
      </c>
      <c r="H506" t="s">
        <v>18</v>
      </c>
      <c r="I506" t="s">
        <v>18</v>
      </c>
      <c r="J506" t="s">
        <v>114</v>
      </c>
      <c r="K506" t="s">
        <v>38</v>
      </c>
      <c r="M506" t="s">
        <v>22</v>
      </c>
    </row>
    <row r="507" spans="1:13" x14ac:dyDescent="0.35">
      <c r="A507">
        <v>5046</v>
      </c>
      <c r="B507" t="s">
        <v>74</v>
      </c>
      <c r="C507" t="s">
        <v>316</v>
      </c>
      <c r="D507" t="s">
        <v>98</v>
      </c>
      <c r="E507" t="s">
        <v>26</v>
      </c>
      <c r="F507" t="s">
        <v>46</v>
      </c>
      <c r="H507" t="s">
        <v>856</v>
      </c>
      <c r="I507" t="s">
        <v>18</v>
      </c>
      <c r="J507" t="s">
        <v>47</v>
      </c>
      <c r="K507" t="s">
        <v>38</v>
      </c>
      <c r="M507" t="s">
        <v>22</v>
      </c>
    </row>
    <row r="508" spans="1:13" x14ac:dyDescent="0.35">
      <c r="A508">
        <v>5403</v>
      </c>
      <c r="B508" t="s">
        <v>100</v>
      </c>
      <c r="C508" t="s">
        <v>857</v>
      </c>
      <c r="D508" t="s">
        <v>25</v>
      </c>
      <c r="E508" t="s">
        <v>16</v>
      </c>
      <c r="F508" t="s">
        <v>42</v>
      </c>
      <c r="G508">
        <v>2</v>
      </c>
      <c r="H508" t="s">
        <v>18</v>
      </c>
      <c r="J508" t="s">
        <v>20</v>
      </c>
      <c r="K508" t="s">
        <v>38</v>
      </c>
      <c r="M508" t="s">
        <v>67</v>
      </c>
    </row>
    <row r="509" spans="1:13" x14ac:dyDescent="0.35">
      <c r="A509">
        <v>5118</v>
      </c>
      <c r="B509" t="s">
        <v>74</v>
      </c>
      <c r="C509" t="s">
        <v>858</v>
      </c>
      <c r="D509" t="s">
        <v>76</v>
      </c>
      <c r="E509" t="s">
        <v>64</v>
      </c>
      <c r="F509" t="s">
        <v>116</v>
      </c>
      <c r="H509" t="s">
        <v>859</v>
      </c>
      <c r="I509" t="s">
        <v>54</v>
      </c>
      <c r="J509" t="s">
        <v>87</v>
      </c>
      <c r="K509" t="s">
        <v>72</v>
      </c>
      <c r="M509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9"/>
  <sheetViews>
    <sheetView workbookViewId="0">
      <selection activeCell="C2" sqref="C2:C509"/>
    </sheetView>
  </sheetViews>
  <sheetFormatPr defaultRowHeight="14.5" x14ac:dyDescent="0.35"/>
  <cols>
    <col min="1" max="1" width="13.26953125" bestFit="1" customWidth="1"/>
    <col min="2" max="2" width="11.90625" customWidth="1"/>
    <col min="3" max="3" width="16.26953125" bestFit="1" customWidth="1"/>
    <col min="4" max="4" width="11.81640625" style="1" bestFit="1" customWidth="1"/>
    <col min="5" max="5" width="7.26953125" bestFit="1" customWidth="1"/>
    <col min="6" max="6" width="16.7265625" bestFit="1" customWidth="1"/>
    <col min="7" max="7" width="15.7265625" customWidth="1"/>
    <col min="8" max="8" width="16.6328125" bestFit="1" customWidth="1"/>
    <col min="9" max="9" width="8" bestFit="1" customWidth="1"/>
    <col min="10" max="10" width="10.08984375" customWidth="1"/>
    <col min="11" max="11" width="15.54296875" customWidth="1"/>
    <col min="12" max="12" width="15.81640625" bestFit="1" customWidth="1"/>
    <col min="13" max="13" width="14" customWidth="1"/>
    <col min="14" max="14" width="11.81640625" bestFit="1" customWidth="1"/>
    <col min="15" max="15" width="8.54296875" customWidth="1"/>
    <col min="17" max="17" width="11" customWidth="1"/>
  </cols>
  <sheetData>
    <row r="1" spans="1:17" x14ac:dyDescent="0.35">
      <c r="A1" t="s">
        <v>883</v>
      </c>
      <c r="B1" t="s">
        <v>884</v>
      </c>
      <c r="C1" t="s">
        <v>902</v>
      </c>
      <c r="D1" s="1" t="s">
        <v>897</v>
      </c>
      <c r="E1" t="s">
        <v>885</v>
      </c>
      <c r="F1" t="s">
        <v>906</v>
      </c>
      <c r="G1" t="s">
        <v>886</v>
      </c>
      <c r="H1" t="s">
        <v>887</v>
      </c>
      <c r="I1" t="s">
        <v>888</v>
      </c>
      <c r="J1" t="s">
        <v>889</v>
      </c>
      <c r="K1" t="s">
        <v>890</v>
      </c>
      <c r="L1" t="s">
        <v>898</v>
      </c>
      <c r="M1" t="s">
        <v>891</v>
      </c>
      <c r="N1" t="s">
        <v>892</v>
      </c>
      <c r="O1" t="s">
        <v>893</v>
      </c>
    </row>
    <row r="2" spans="1:17" x14ac:dyDescent="0.35">
      <c r="A2">
        <v>5453</v>
      </c>
      <c r="B2" t="s">
        <v>32</v>
      </c>
      <c r="C2" t="str">
        <f>IFERROR(VLOOKUP(B2,Branches!A:B, 2, FALSE), B2&amp;"(NOT FOUND)")</f>
        <v>Wuse Branch</v>
      </c>
      <c r="D2" s="1">
        <v>45315</v>
      </c>
      <c r="E2" t="s">
        <v>15</v>
      </c>
      <c r="F2" t="str">
        <f>IFERROR(VLOOKUP(E2, Staff!A:B, 2, FALSE), E2&amp;" (NOT FOUND)")</f>
        <v>Ibrahim Sani</v>
      </c>
      <c r="G2" t="s">
        <v>16</v>
      </c>
      <c r="H2" t="s">
        <v>17</v>
      </c>
      <c r="I2">
        <v>5</v>
      </c>
      <c r="J2" t="s">
        <v>894</v>
      </c>
      <c r="K2">
        <v>0</v>
      </c>
      <c r="L2" t="s">
        <v>20</v>
      </c>
      <c r="M2" t="s">
        <v>84</v>
      </c>
      <c r="N2" t="str">
        <f>IF(OR(I2="",J2=""),"",IF(OR(K2="", K2=0), I2*J2, (I2*J2)-(K2/100)*I2*J2))</f>
        <v/>
      </c>
      <c r="O2" t="s">
        <v>895</v>
      </c>
    </row>
    <row r="3" spans="1:17" x14ac:dyDescent="0.35">
      <c r="A3">
        <v>5302</v>
      </c>
      <c r="B3" t="s">
        <v>88</v>
      </c>
      <c r="C3" t="str">
        <f>IFERROR(VLOOKUP(B3,Branches!A:B, 2, FALSE), B3&amp;"(NOT FOUND)")</f>
        <v>Lekki Branch</v>
      </c>
      <c r="D3" s="1">
        <v>45309</v>
      </c>
      <c r="E3" t="s">
        <v>25</v>
      </c>
      <c r="F3" t="str">
        <f>IFERROR(VLOOKUP(E3, Staff!A:B, 2, FALSE), E3&amp;" (NOT FOUND)")</f>
        <v>Tobi Adewale</v>
      </c>
      <c r="G3" t="s">
        <v>26</v>
      </c>
      <c r="H3" t="s">
        <v>27</v>
      </c>
      <c r="J3">
        <v>10605.57</v>
      </c>
      <c r="K3" t="s">
        <v>894</v>
      </c>
      <c r="L3" t="s">
        <v>20</v>
      </c>
      <c r="M3" t="s">
        <v>84</v>
      </c>
      <c r="N3" t="str">
        <f t="shared" ref="N3:N66" si="0">IF(OR(I3="",J3=""),"",IF(OR(K3="", K3=0), I3*J3, (I3*J3)-(K3/100)*I3*J3))</f>
        <v/>
      </c>
      <c r="O3" t="s">
        <v>896</v>
      </c>
    </row>
    <row r="4" spans="1:17" x14ac:dyDescent="0.35">
      <c r="A4">
        <v>5026</v>
      </c>
      <c r="B4" t="s">
        <v>32</v>
      </c>
      <c r="C4" t="str">
        <f>IFERROR(VLOOKUP(B4,Branches!A:B, 2, FALSE), B4&amp;"(NOT FOUND)")</f>
        <v>Wuse Branch</v>
      </c>
      <c r="D4" s="1">
        <v>45550</v>
      </c>
      <c r="E4" t="s">
        <v>34</v>
      </c>
      <c r="F4" t="str">
        <f>IFERROR(VLOOKUP(E4, Staff!A:B, 2, FALSE), E4&amp;" (NOT FOUND)")</f>
        <v>Funke Ajayi</v>
      </c>
      <c r="G4" t="s">
        <v>35</v>
      </c>
      <c r="H4" t="s">
        <v>36</v>
      </c>
      <c r="J4">
        <v>8416.5400000000009</v>
      </c>
      <c r="K4">
        <v>0</v>
      </c>
      <c r="L4" t="s">
        <v>20</v>
      </c>
      <c r="M4" t="s">
        <v>38</v>
      </c>
      <c r="N4" t="str">
        <f t="shared" si="0"/>
        <v/>
      </c>
      <c r="O4" t="s">
        <v>896</v>
      </c>
    </row>
    <row r="5" spans="1:17" x14ac:dyDescent="0.35">
      <c r="A5">
        <v>5001</v>
      </c>
      <c r="B5" t="s">
        <v>32</v>
      </c>
      <c r="C5" t="str">
        <f>IFERROR(VLOOKUP(B5,Branches!A:B, 2, FALSE), B5&amp;"(NOT FOUND)")</f>
        <v>Wuse Branch</v>
      </c>
      <c r="D5" s="1">
        <v>45509</v>
      </c>
      <c r="E5" t="s">
        <v>25</v>
      </c>
      <c r="F5" t="str">
        <f>IFERROR(VLOOKUP(E5, Staff!A:B, 2, FALSE), E5&amp;" (NOT FOUND)")</f>
        <v>Tobi Adewale</v>
      </c>
      <c r="G5" t="s">
        <v>16</v>
      </c>
      <c r="H5" t="s">
        <v>42</v>
      </c>
      <c r="I5">
        <v>5</v>
      </c>
      <c r="J5" t="s">
        <v>894</v>
      </c>
      <c r="K5">
        <v>15</v>
      </c>
      <c r="L5" t="s">
        <v>20</v>
      </c>
      <c r="M5" t="s">
        <v>38</v>
      </c>
      <c r="N5" t="str">
        <f t="shared" si="0"/>
        <v/>
      </c>
      <c r="O5" t="s">
        <v>896</v>
      </c>
    </row>
    <row r="6" spans="1:17" x14ac:dyDescent="0.35">
      <c r="A6">
        <v>5380</v>
      </c>
      <c r="B6" t="s">
        <v>88</v>
      </c>
      <c r="C6" t="str">
        <f>IFERROR(VLOOKUP(B6,Branches!A:B, 2, FALSE), B6&amp;"(NOT FOUND)")</f>
        <v>Lekki Branch</v>
      </c>
      <c r="D6" s="1">
        <v>45434</v>
      </c>
      <c r="E6" t="s">
        <v>25</v>
      </c>
      <c r="F6" t="str">
        <f>IFERROR(VLOOKUP(E6, Staff!A:B, 2, FALSE), E6&amp;" (NOT FOUND)")</f>
        <v>Tobi Adewale</v>
      </c>
      <c r="G6" t="s">
        <v>26</v>
      </c>
      <c r="H6" t="s">
        <v>46</v>
      </c>
      <c r="I6">
        <v>1</v>
      </c>
      <c r="J6" t="s">
        <v>894</v>
      </c>
      <c r="K6" t="s">
        <v>894</v>
      </c>
      <c r="L6" t="s">
        <v>47</v>
      </c>
      <c r="M6" t="s">
        <v>84</v>
      </c>
      <c r="N6" t="str">
        <f t="shared" si="0"/>
        <v/>
      </c>
      <c r="O6" t="s">
        <v>894</v>
      </c>
      <c r="Q6" t="str">
        <f>IFERROR(VALUE(SUBSTITUTE(#REF!,"₦","")), "")</f>
        <v/>
      </c>
    </row>
    <row r="7" spans="1:17" x14ac:dyDescent="0.35">
      <c r="A7">
        <v>5214</v>
      </c>
      <c r="B7" t="s">
        <v>49</v>
      </c>
      <c r="C7" t="str">
        <f>IFERROR(VLOOKUP(B7,Branches!A:B, 2, FALSE), B7&amp;"(NOT FOUND)")</f>
        <v>BRXX(NOT FOUND)</v>
      </c>
      <c r="D7" s="1">
        <v>45530</v>
      </c>
      <c r="E7" t="s">
        <v>51</v>
      </c>
      <c r="F7" t="str">
        <f>IFERROR(VLOOKUP(E7, Staff!A:B, 2, FALSE), E7&amp;" (NOT FOUND)")</f>
        <v>Halima Yusuf</v>
      </c>
      <c r="G7" t="s">
        <v>26</v>
      </c>
      <c r="H7" t="s">
        <v>52</v>
      </c>
      <c r="J7">
        <v>33815.79</v>
      </c>
      <c r="K7">
        <v>5</v>
      </c>
      <c r="L7" t="s">
        <v>47</v>
      </c>
      <c r="M7" t="s">
        <v>84</v>
      </c>
      <c r="N7" t="str">
        <f t="shared" si="0"/>
        <v/>
      </c>
      <c r="O7" t="s">
        <v>896</v>
      </c>
    </row>
    <row r="8" spans="1:17" x14ac:dyDescent="0.35">
      <c r="A8">
        <v>5410</v>
      </c>
      <c r="B8" t="s">
        <v>129</v>
      </c>
      <c r="C8" t="str">
        <f>IFERROR(VLOOKUP(B8,Branches!A:B, 2, FALSE), B8&amp;"(NOT FOUND)")</f>
        <v>Sabon Gari Branch</v>
      </c>
      <c r="D8" s="1">
        <v>45520</v>
      </c>
      <c r="E8" t="s">
        <v>57</v>
      </c>
      <c r="F8" t="str">
        <f>IFERROR(VLOOKUP(E8, Staff!A:B, 2, FALSE), E8&amp;" (NOT FOUND)")</f>
        <v>Kelechi Umeh</v>
      </c>
      <c r="G8" t="s">
        <v>35</v>
      </c>
      <c r="H8" t="s">
        <v>58</v>
      </c>
      <c r="I8">
        <v>5</v>
      </c>
      <c r="J8">
        <v>23072.48</v>
      </c>
      <c r="K8">
        <v>0</v>
      </c>
      <c r="L8" t="s">
        <v>60</v>
      </c>
      <c r="M8" t="s">
        <v>38</v>
      </c>
      <c r="N8">
        <f t="shared" si="0"/>
        <v>115362.4</v>
      </c>
      <c r="O8" t="s">
        <v>895</v>
      </c>
      <c r="Q8" t="str">
        <f>IFERROR(VALUE(SUBSTITUTE(#REF!,"₦","")), "")</f>
        <v/>
      </c>
    </row>
    <row r="9" spans="1:17" x14ac:dyDescent="0.35">
      <c r="A9">
        <v>5350</v>
      </c>
      <c r="B9" t="s">
        <v>88</v>
      </c>
      <c r="C9" t="str">
        <f>IFERROR(VLOOKUP(B9,Branches!A:B, 2, FALSE), B9&amp;"(NOT FOUND)")</f>
        <v>Lekki Branch</v>
      </c>
      <c r="D9" s="1">
        <v>45415</v>
      </c>
      <c r="E9" t="s">
        <v>15</v>
      </c>
      <c r="F9" t="str">
        <f>IFERROR(VLOOKUP(E9, Staff!A:B, 2, FALSE), E9&amp;" (NOT FOUND)")</f>
        <v>Ibrahim Sani</v>
      </c>
      <c r="G9" t="s">
        <v>64</v>
      </c>
      <c r="H9" t="s">
        <v>65</v>
      </c>
      <c r="I9">
        <v>5</v>
      </c>
      <c r="J9">
        <v>32386.21</v>
      </c>
      <c r="K9">
        <v>0</v>
      </c>
      <c r="L9" t="s">
        <v>20</v>
      </c>
      <c r="M9" t="s">
        <v>38</v>
      </c>
      <c r="N9">
        <f t="shared" si="0"/>
        <v>161931.04999999999</v>
      </c>
      <c r="O9" t="s">
        <v>895</v>
      </c>
      <c r="Q9" t="str">
        <f>IFERROR(VALUE(SUBSTITUTE(#REF!,"₦","")), "")</f>
        <v/>
      </c>
    </row>
    <row r="10" spans="1:17" x14ac:dyDescent="0.35">
      <c r="A10">
        <v>5445</v>
      </c>
      <c r="B10" t="s">
        <v>74</v>
      </c>
      <c r="C10" t="str">
        <f>IFERROR(VLOOKUP(B10,Branches!A:B, 2, FALSE), B10&amp;"(NOT FOUND)")</f>
        <v>Bodija Branch</v>
      </c>
      <c r="D10" s="1">
        <v>45357</v>
      </c>
      <c r="E10" t="s">
        <v>57</v>
      </c>
      <c r="F10" t="str">
        <f>IFERROR(VLOOKUP(E10, Staff!A:B, 2, FALSE), E10&amp;" (NOT FOUND)")</f>
        <v>Kelechi Umeh</v>
      </c>
      <c r="G10" t="s">
        <v>26</v>
      </c>
      <c r="H10" t="s">
        <v>52</v>
      </c>
      <c r="I10">
        <v>1</v>
      </c>
      <c r="J10">
        <v>1321.59</v>
      </c>
      <c r="K10">
        <v>10</v>
      </c>
      <c r="L10" t="s">
        <v>20</v>
      </c>
      <c r="M10" t="s">
        <v>84</v>
      </c>
      <c r="N10">
        <f t="shared" si="0"/>
        <v>1189.431</v>
      </c>
      <c r="O10" t="s">
        <v>896</v>
      </c>
    </row>
    <row r="11" spans="1:17" x14ac:dyDescent="0.35">
      <c r="A11">
        <v>5227</v>
      </c>
      <c r="B11" t="s">
        <v>74</v>
      </c>
      <c r="C11" t="str">
        <f>IFERROR(VLOOKUP(B11,Branches!A:B, 2, FALSE), B11&amp;"(NOT FOUND)")</f>
        <v>Bodija Branch</v>
      </c>
      <c r="D11" s="1">
        <v>45447</v>
      </c>
      <c r="E11" t="s">
        <v>76</v>
      </c>
      <c r="F11" t="str">
        <f>IFERROR(VLOOKUP(E11, Staff!A:B, 2, FALSE), E11&amp;" (NOT FOUND)")</f>
        <v>Chika Nwankwo</v>
      </c>
      <c r="G11" t="s">
        <v>64</v>
      </c>
      <c r="H11" t="s">
        <v>77</v>
      </c>
      <c r="J11" t="s">
        <v>894</v>
      </c>
      <c r="K11" t="s">
        <v>894</v>
      </c>
      <c r="L11" t="s">
        <v>60</v>
      </c>
      <c r="M11" t="s">
        <v>38</v>
      </c>
      <c r="N11" t="str">
        <f t="shared" si="0"/>
        <v/>
      </c>
      <c r="O11" t="s">
        <v>895</v>
      </c>
    </row>
    <row r="12" spans="1:17" x14ac:dyDescent="0.35">
      <c r="A12">
        <v>5478</v>
      </c>
      <c r="B12" t="s">
        <v>102</v>
      </c>
      <c r="C12" t="str">
        <f>IFERROR(VLOOKUP(B12,Branches!A:B, 2, FALSE), B12&amp;"(NOT FOUND)")</f>
        <v>GRA Branch</v>
      </c>
      <c r="D12" s="1">
        <v>45397</v>
      </c>
      <c r="E12" t="s">
        <v>51</v>
      </c>
      <c r="F12" t="str">
        <f>IFERROR(VLOOKUP(E12, Staff!A:B, 2, FALSE), E12&amp;" (NOT FOUND)")</f>
        <v>Halima Yusuf</v>
      </c>
      <c r="G12" t="s">
        <v>16</v>
      </c>
      <c r="H12" t="s">
        <v>82</v>
      </c>
      <c r="J12">
        <v>26958.25</v>
      </c>
      <c r="K12">
        <v>10</v>
      </c>
      <c r="L12" t="s">
        <v>60</v>
      </c>
      <c r="M12" t="s">
        <v>84</v>
      </c>
      <c r="N12" t="str">
        <f t="shared" si="0"/>
        <v/>
      </c>
      <c r="O12" t="s">
        <v>895</v>
      </c>
    </row>
    <row r="13" spans="1:17" x14ac:dyDescent="0.35">
      <c r="A13">
        <v>5439</v>
      </c>
      <c r="B13" t="s">
        <v>32</v>
      </c>
      <c r="C13" t="str">
        <f>IFERROR(VLOOKUP(B13,Branches!A:B, 2, FALSE), B13&amp;"(NOT FOUND)")</f>
        <v>Wuse Branch</v>
      </c>
      <c r="D13" s="1">
        <v>45420</v>
      </c>
      <c r="E13" t="s">
        <v>86</v>
      </c>
      <c r="F13" t="str">
        <f>IFERROR(VLOOKUP(E13, Staff!A:B, 2, FALSE), E13&amp;" (NOT FOUND)")</f>
        <v>Ekene Obi</v>
      </c>
      <c r="G13" t="s">
        <v>64</v>
      </c>
      <c r="H13" t="s">
        <v>65</v>
      </c>
      <c r="I13">
        <v>3</v>
      </c>
      <c r="J13" t="s">
        <v>894</v>
      </c>
      <c r="K13">
        <v>5</v>
      </c>
      <c r="L13" t="s">
        <v>47</v>
      </c>
      <c r="M13" t="s">
        <v>38</v>
      </c>
      <c r="N13" t="str">
        <f t="shared" si="0"/>
        <v/>
      </c>
      <c r="O13" t="s">
        <v>895</v>
      </c>
    </row>
    <row r="14" spans="1:17" x14ac:dyDescent="0.35">
      <c r="A14">
        <v>5058</v>
      </c>
      <c r="B14" t="s">
        <v>88</v>
      </c>
      <c r="C14" t="str">
        <f>IFERROR(VLOOKUP(B14,Branches!A:B, 2, FALSE), B14&amp;"(NOT FOUND)")</f>
        <v>Lekki Branch</v>
      </c>
      <c r="D14" s="1">
        <v>45554</v>
      </c>
      <c r="E14" t="s">
        <v>90</v>
      </c>
      <c r="F14" t="str">
        <f>IFERROR(VLOOKUP(E14, Staff!A:B, 2, FALSE), E14&amp;" (NOT FOUND)")</f>
        <v>S099 (NOT FOUND)</v>
      </c>
      <c r="G14" t="s">
        <v>26</v>
      </c>
      <c r="H14" t="s">
        <v>46</v>
      </c>
      <c r="I14">
        <v>3</v>
      </c>
      <c r="J14" t="s">
        <v>894</v>
      </c>
      <c r="K14" t="s">
        <v>894</v>
      </c>
      <c r="L14" t="s">
        <v>47</v>
      </c>
      <c r="M14" t="s">
        <v>38</v>
      </c>
      <c r="N14" t="str">
        <f t="shared" si="0"/>
        <v/>
      </c>
      <c r="O14" t="s">
        <v>895</v>
      </c>
    </row>
    <row r="15" spans="1:17" x14ac:dyDescent="0.35">
      <c r="A15">
        <v>5384</v>
      </c>
      <c r="B15" t="s">
        <v>74</v>
      </c>
      <c r="C15" t="str">
        <f>IFERROR(VLOOKUP(B15,Branches!A:B, 2, FALSE), B15&amp;"(NOT FOUND)")</f>
        <v>Bodija Branch</v>
      </c>
      <c r="D15" s="1">
        <v>45388</v>
      </c>
      <c r="E15" t="s">
        <v>86</v>
      </c>
      <c r="F15" t="str">
        <f>IFERROR(VLOOKUP(E15, Staff!A:B, 2, FALSE), E15&amp;" (NOT FOUND)")</f>
        <v>Ekene Obi</v>
      </c>
      <c r="G15" t="s">
        <v>26</v>
      </c>
      <c r="H15" t="s">
        <v>27</v>
      </c>
      <c r="I15">
        <v>2</v>
      </c>
      <c r="J15">
        <v>17169.84</v>
      </c>
      <c r="K15">
        <v>15</v>
      </c>
      <c r="L15" t="s">
        <v>60</v>
      </c>
      <c r="M15" t="s">
        <v>84</v>
      </c>
      <c r="N15">
        <f t="shared" si="0"/>
        <v>29188.727999999999</v>
      </c>
      <c r="O15" t="s">
        <v>895</v>
      </c>
    </row>
    <row r="16" spans="1:17" x14ac:dyDescent="0.35">
      <c r="A16">
        <v>5101</v>
      </c>
      <c r="B16" t="s">
        <v>74</v>
      </c>
      <c r="C16" t="str">
        <f>IFERROR(VLOOKUP(B16,Branches!A:B, 2, FALSE), B16&amp;"(NOT FOUND)")</f>
        <v>Bodija Branch</v>
      </c>
      <c r="D16" s="1">
        <v>45549</v>
      </c>
      <c r="E16" t="s">
        <v>86</v>
      </c>
      <c r="F16" t="str">
        <f>IFERROR(VLOOKUP(E16, Staff!A:B, 2, FALSE), E16&amp;" (NOT FOUND)")</f>
        <v>Ekene Obi</v>
      </c>
      <c r="G16" t="s">
        <v>64</v>
      </c>
      <c r="H16" t="s">
        <v>77</v>
      </c>
      <c r="I16">
        <v>3</v>
      </c>
      <c r="J16">
        <v>25154.23</v>
      </c>
      <c r="K16">
        <v>0</v>
      </c>
      <c r="L16" t="s">
        <v>60</v>
      </c>
      <c r="M16" t="s">
        <v>84</v>
      </c>
      <c r="N16">
        <f t="shared" si="0"/>
        <v>75462.69</v>
      </c>
      <c r="O16" t="s">
        <v>895</v>
      </c>
    </row>
    <row r="17" spans="1:15" x14ac:dyDescent="0.35">
      <c r="A17">
        <v>5176</v>
      </c>
      <c r="B17" t="s">
        <v>102</v>
      </c>
      <c r="C17" t="str">
        <f>IFERROR(VLOOKUP(B17,Branches!A:B, 2, FALSE), B17&amp;"(NOT FOUND)")</f>
        <v>GRA Branch</v>
      </c>
      <c r="D17" s="1">
        <v>45373</v>
      </c>
      <c r="E17" t="s">
        <v>98</v>
      </c>
      <c r="F17" t="str">
        <f>IFERROR(VLOOKUP(E17, Staff!A:B, 2, FALSE), E17&amp;" (NOT FOUND)")</f>
        <v>S100 (NOT FOUND)</v>
      </c>
      <c r="G17" t="s">
        <v>35</v>
      </c>
      <c r="H17" t="s">
        <v>99</v>
      </c>
      <c r="I17">
        <v>1</v>
      </c>
      <c r="J17" t="s">
        <v>894</v>
      </c>
      <c r="K17">
        <v>5</v>
      </c>
      <c r="L17" t="s">
        <v>60</v>
      </c>
      <c r="M17" t="s">
        <v>84</v>
      </c>
      <c r="N17" t="str">
        <f t="shared" si="0"/>
        <v/>
      </c>
      <c r="O17" t="s">
        <v>895</v>
      </c>
    </row>
    <row r="18" spans="1:15" x14ac:dyDescent="0.35">
      <c r="A18">
        <v>5310</v>
      </c>
      <c r="B18" t="s">
        <v>129</v>
      </c>
      <c r="C18" t="str">
        <f>IFERROR(VLOOKUP(B18,Branches!A:B, 2, FALSE), B18&amp;"(NOT FOUND)")</f>
        <v>Sabon Gari Branch</v>
      </c>
      <c r="D18" s="1">
        <v>45463</v>
      </c>
      <c r="E18" t="s">
        <v>51</v>
      </c>
      <c r="F18" t="str">
        <f>IFERROR(VLOOKUP(E18, Staff!A:B, 2, FALSE), E18&amp;" (NOT FOUND)")</f>
        <v>Halima Yusuf</v>
      </c>
      <c r="G18" t="s">
        <v>35</v>
      </c>
      <c r="H18" t="s">
        <v>58</v>
      </c>
      <c r="J18" t="s">
        <v>894</v>
      </c>
      <c r="K18">
        <v>10</v>
      </c>
      <c r="L18" t="s">
        <v>47</v>
      </c>
      <c r="M18" t="s">
        <v>84</v>
      </c>
      <c r="N18" t="str">
        <f t="shared" si="0"/>
        <v/>
      </c>
      <c r="O18" t="s">
        <v>895</v>
      </c>
    </row>
    <row r="19" spans="1:15" x14ac:dyDescent="0.35">
      <c r="A19">
        <v>5167</v>
      </c>
      <c r="B19" t="s">
        <v>102</v>
      </c>
      <c r="C19" t="str">
        <f>IFERROR(VLOOKUP(B19,Branches!A:B, 2, FALSE), B19&amp;"(NOT FOUND)")</f>
        <v>GRA Branch</v>
      </c>
      <c r="D19" s="1">
        <v>45382</v>
      </c>
      <c r="E19" t="s">
        <v>57</v>
      </c>
      <c r="F19" t="str">
        <f>IFERROR(VLOOKUP(E19, Staff!A:B, 2, FALSE), E19&amp;" (NOT FOUND)")</f>
        <v>Kelechi Umeh</v>
      </c>
      <c r="G19" t="s">
        <v>35</v>
      </c>
      <c r="H19" t="s">
        <v>36</v>
      </c>
      <c r="I19">
        <v>1</v>
      </c>
      <c r="J19">
        <v>23400.68</v>
      </c>
      <c r="K19">
        <v>10</v>
      </c>
      <c r="L19" t="s">
        <v>60</v>
      </c>
      <c r="M19" t="s">
        <v>38</v>
      </c>
      <c r="N19">
        <f t="shared" si="0"/>
        <v>21060.612000000001</v>
      </c>
      <c r="O19" t="s">
        <v>895</v>
      </c>
    </row>
    <row r="20" spans="1:15" x14ac:dyDescent="0.35">
      <c r="A20">
        <v>5217</v>
      </c>
      <c r="B20" t="s">
        <v>74</v>
      </c>
      <c r="C20" t="str">
        <f>IFERROR(VLOOKUP(B20,Branches!A:B, 2, FALSE), B20&amp;"(NOT FOUND)")</f>
        <v>Bodija Branch</v>
      </c>
      <c r="D20" s="1">
        <v>45561</v>
      </c>
      <c r="E20" t="s">
        <v>51</v>
      </c>
      <c r="F20" t="str">
        <f>IFERROR(VLOOKUP(E20, Staff!A:B, 2, FALSE), E20&amp;" (NOT FOUND)")</f>
        <v>Halima Yusuf</v>
      </c>
      <c r="G20" t="s">
        <v>35</v>
      </c>
      <c r="H20" t="s">
        <v>99</v>
      </c>
      <c r="I20">
        <v>4</v>
      </c>
      <c r="J20">
        <v>5589.59</v>
      </c>
      <c r="K20" t="s">
        <v>894</v>
      </c>
      <c r="L20" t="s">
        <v>47</v>
      </c>
      <c r="M20" t="s">
        <v>84</v>
      </c>
      <c r="N20">
        <f t="shared" si="0"/>
        <v>22358.36</v>
      </c>
      <c r="O20" t="s">
        <v>896</v>
      </c>
    </row>
    <row r="21" spans="1:15" x14ac:dyDescent="0.35">
      <c r="A21">
        <v>5007</v>
      </c>
      <c r="B21" t="s">
        <v>32</v>
      </c>
      <c r="C21" t="str">
        <f>IFERROR(VLOOKUP(B21,Branches!A:B, 2, FALSE), B21&amp;"(NOT FOUND)")</f>
        <v>Wuse Branch</v>
      </c>
      <c r="D21" s="1">
        <v>45504</v>
      </c>
      <c r="E21" t="s">
        <v>108</v>
      </c>
      <c r="F21" t="str">
        <f>IFERROR(VLOOKUP(E21, Staff!A:B, 2, FALSE), E21&amp;" (NOT FOUND)")</f>
        <v>Ronke Bakare</v>
      </c>
      <c r="G21" t="s">
        <v>16</v>
      </c>
      <c r="H21" t="s">
        <v>109</v>
      </c>
      <c r="I21">
        <v>5</v>
      </c>
      <c r="J21" t="s">
        <v>894</v>
      </c>
      <c r="K21" t="s">
        <v>894</v>
      </c>
      <c r="L21" t="s">
        <v>20</v>
      </c>
      <c r="M21" t="s">
        <v>38</v>
      </c>
      <c r="N21" t="str">
        <f t="shared" si="0"/>
        <v/>
      </c>
      <c r="O21" t="s">
        <v>895</v>
      </c>
    </row>
    <row r="22" spans="1:15" x14ac:dyDescent="0.35">
      <c r="A22">
        <v>5363</v>
      </c>
      <c r="B22" t="s">
        <v>74</v>
      </c>
      <c r="C22" t="str">
        <f>IFERROR(VLOOKUP(B22,Branches!A:B, 2, FALSE), B22&amp;"(NOT FOUND)")</f>
        <v>Bodija Branch</v>
      </c>
      <c r="D22" s="1">
        <v>45553</v>
      </c>
      <c r="E22" t="s">
        <v>51</v>
      </c>
      <c r="F22" t="str">
        <f>IFERROR(VLOOKUP(E22, Staff!A:B, 2, FALSE), E22&amp;" (NOT FOUND)")</f>
        <v>Halima Yusuf</v>
      </c>
      <c r="G22" t="s">
        <v>26</v>
      </c>
      <c r="H22" t="s">
        <v>112</v>
      </c>
      <c r="I22">
        <v>4</v>
      </c>
      <c r="J22">
        <v>37413.699999999997</v>
      </c>
      <c r="K22">
        <v>0</v>
      </c>
      <c r="L22" t="s">
        <v>47</v>
      </c>
      <c r="M22" t="s">
        <v>84</v>
      </c>
      <c r="N22">
        <f t="shared" si="0"/>
        <v>149654.79999999999</v>
      </c>
      <c r="O22" t="s">
        <v>894</v>
      </c>
    </row>
    <row r="23" spans="1:15" x14ac:dyDescent="0.35">
      <c r="A23">
        <v>5271</v>
      </c>
      <c r="B23" t="s">
        <v>102</v>
      </c>
      <c r="C23" t="str">
        <f>IFERROR(VLOOKUP(B23,Branches!A:B, 2, FALSE), B23&amp;"(NOT FOUND)")</f>
        <v>GRA Branch</v>
      </c>
      <c r="D23" s="1">
        <v>45320</v>
      </c>
      <c r="E23" t="s">
        <v>86</v>
      </c>
      <c r="F23" t="str">
        <f>IFERROR(VLOOKUP(E23, Staff!A:B, 2, FALSE), E23&amp;" (NOT FOUND)")</f>
        <v>Ekene Obi</v>
      </c>
      <c r="G23" t="s">
        <v>64</v>
      </c>
      <c r="H23" t="s">
        <v>116</v>
      </c>
      <c r="I23">
        <v>5</v>
      </c>
      <c r="J23" t="s">
        <v>894</v>
      </c>
      <c r="K23">
        <v>10</v>
      </c>
      <c r="L23" t="s">
        <v>20</v>
      </c>
      <c r="M23" t="s">
        <v>84</v>
      </c>
      <c r="N23" t="str">
        <f t="shared" si="0"/>
        <v/>
      </c>
      <c r="O23" t="s">
        <v>896</v>
      </c>
    </row>
    <row r="24" spans="1:15" x14ac:dyDescent="0.35">
      <c r="A24">
        <v>5235</v>
      </c>
      <c r="B24" t="s">
        <v>102</v>
      </c>
      <c r="C24" t="str">
        <f>IFERROR(VLOOKUP(B24,Branches!A:B, 2, FALSE), B24&amp;"(NOT FOUND)")</f>
        <v>GRA Branch</v>
      </c>
      <c r="D24" s="1">
        <v>45380</v>
      </c>
      <c r="E24" t="s">
        <v>108</v>
      </c>
      <c r="F24" t="str">
        <f>IFERROR(VLOOKUP(E24, Staff!A:B, 2, FALSE), E24&amp;" (NOT FOUND)")</f>
        <v>Ronke Bakare</v>
      </c>
      <c r="G24" t="s">
        <v>16</v>
      </c>
      <c r="H24" t="s">
        <v>42</v>
      </c>
      <c r="I24">
        <v>1</v>
      </c>
      <c r="J24">
        <v>42907.41</v>
      </c>
      <c r="K24">
        <v>5</v>
      </c>
      <c r="L24" t="s">
        <v>20</v>
      </c>
      <c r="M24" t="s">
        <v>38</v>
      </c>
      <c r="N24">
        <f t="shared" si="0"/>
        <v>40762.039500000006</v>
      </c>
      <c r="O24" t="s">
        <v>895</v>
      </c>
    </row>
    <row r="25" spans="1:15" x14ac:dyDescent="0.35">
      <c r="A25">
        <v>5116</v>
      </c>
      <c r="B25" t="s">
        <v>32</v>
      </c>
      <c r="C25" t="str">
        <f>IFERROR(VLOOKUP(B25,Branches!A:B, 2, FALSE), B25&amp;"(NOT FOUND)")</f>
        <v>Wuse Branch</v>
      </c>
      <c r="D25" s="1">
        <v>45495</v>
      </c>
      <c r="E25" t="s">
        <v>15</v>
      </c>
      <c r="F25" t="str">
        <f>IFERROR(VLOOKUP(E25, Staff!A:B, 2, FALSE), E25&amp;" (NOT FOUND)")</f>
        <v>Ibrahim Sani</v>
      </c>
      <c r="G25" t="s">
        <v>35</v>
      </c>
      <c r="H25" t="s">
        <v>58</v>
      </c>
      <c r="I25">
        <v>1</v>
      </c>
      <c r="J25" t="s">
        <v>894</v>
      </c>
      <c r="K25">
        <v>15</v>
      </c>
      <c r="L25" t="s">
        <v>20</v>
      </c>
      <c r="M25" t="s">
        <v>84</v>
      </c>
      <c r="N25" t="str">
        <f t="shared" si="0"/>
        <v/>
      </c>
      <c r="O25" t="s">
        <v>896</v>
      </c>
    </row>
    <row r="26" spans="1:15" x14ac:dyDescent="0.35">
      <c r="A26">
        <v>5353</v>
      </c>
      <c r="B26" t="s">
        <v>74</v>
      </c>
      <c r="C26" t="str">
        <f>IFERROR(VLOOKUP(B26,Branches!A:B, 2, FALSE), B26&amp;"(NOT FOUND)")</f>
        <v>Bodija Branch</v>
      </c>
      <c r="D26" s="1">
        <v>45400</v>
      </c>
      <c r="E26" t="s">
        <v>108</v>
      </c>
      <c r="F26" t="str">
        <f>IFERROR(VLOOKUP(E26, Staff!A:B, 2, FALSE), E26&amp;" (NOT FOUND)")</f>
        <v>Ronke Bakare</v>
      </c>
      <c r="G26" t="s">
        <v>26</v>
      </c>
      <c r="H26" t="s">
        <v>52</v>
      </c>
      <c r="I26">
        <v>1</v>
      </c>
      <c r="J26" t="s">
        <v>894</v>
      </c>
      <c r="K26">
        <v>10</v>
      </c>
      <c r="L26" t="s">
        <v>47</v>
      </c>
      <c r="M26" t="s">
        <v>84</v>
      </c>
      <c r="N26" t="str">
        <f t="shared" si="0"/>
        <v/>
      </c>
      <c r="O26" t="s">
        <v>894</v>
      </c>
    </row>
    <row r="27" spans="1:15" x14ac:dyDescent="0.35">
      <c r="A27">
        <v>5338</v>
      </c>
      <c r="B27" t="s">
        <v>74</v>
      </c>
      <c r="C27" t="str">
        <f>IFERROR(VLOOKUP(B27,Branches!A:B, 2, FALSE), B27&amp;"(NOT FOUND)")</f>
        <v>Bodija Branch</v>
      </c>
      <c r="D27" s="1">
        <v>45343</v>
      </c>
      <c r="E27" t="s">
        <v>51</v>
      </c>
      <c r="F27" t="str">
        <f>IFERROR(VLOOKUP(E27, Staff!A:B, 2, FALSE), E27&amp;" (NOT FOUND)")</f>
        <v>Halima Yusuf</v>
      </c>
      <c r="G27" t="s">
        <v>35</v>
      </c>
      <c r="H27" t="s">
        <v>58</v>
      </c>
      <c r="J27" t="s">
        <v>894</v>
      </c>
      <c r="K27">
        <v>10</v>
      </c>
      <c r="L27" t="s">
        <v>47</v>
      </c>
      <c r="M27" t="s">
        <v>84</v>
      </c>
      <c r="N27" t="str">
        <f t="shared" si="0"/>
        <v/>
      </c>
      <c r="O27" t="s">
        <v>895</v>
      </c>
    </row>
    <row r="28" spans="1:15" x14ac:dyDescent="0.35">
      <c r="A28">
        <v>5343</v>
      </c>
      <c r="B28" t="s">
        <v>32</v>
      </c>
      <c r="C28" t="str">
        <f>IFERROR(VLOOKUP(B28,Branches!A:B, 2, FALSE), B28&amp;"(NOT FOUND)")</f>
        <v>Wuse Branch</v>
      </c>
      <c r="D28" s="1">
        <v>45557</v>
      </c>
      <c r="E28" t="s">
        <v>15</v>
      </c>
      <c r="F28" t="str">
        <f>IFERROR(VLOOKUP(E28, Staff!A:B, 2, FALSE), E28&amp;" (NOT FOUND)")</f>
        <v>Ibrahim Sani</v>
      </c>
      <c r="G28" t="s">
        <v>16</v>
      </c>
      <c r="H28" t="s">
        <v>42</v>
      </c>
      <c r="I28">
        <v>3</v>
      </c>
      <c r="J28" t="s">
        <v>894</v>
      </c>
      <c r="K28" t="s">
        <v>894</v>
      </c>
      <c r="L28" t="s">
        <v>20</v>
      </c>
      <c r="M28" t="s">
        <v>38</v>
      </c>
      <c r="N28" t="str">
        <f t="shared" si="0"/>
        <v/>
      </c>
      <c r="O28" t="s">
        <v>895</v>
      </c>
    </row>
    <row r="29" spans="1:15" x14ac:dyDescent="0.35">
      <c r="A29">
        <v>5372</v>
      </c>
      <c r="B29" t="s">
        <v>88</v>
      </c>
      <c r="C29" t="str">
        <f>IFERROR(VLOOKUP(B29,Branches!A:B, 2, FALSE), B29&amp;"(NOT FOUND)")</f>
        <v>Lekki Branch</v>
      </c>
      <c r="D29" s="1">
        <v>45528</v>
      </c>
      <c r="E29" t="s">
        <v>108</v>
      </c>
      <c r="F29" t="str">
        <f>IFERROR(VLOOKUP(E29, Staff!A:B, 2, FALSE), E29&amp;" (NOT FOUND)")</f>
        <v>Ronke Bakare</v>
      </c>
      <c r="G29" t="s">
        <v>26</v>
      </c>
      <c r="H29" t="s">
        <v>112</v>
      </c>
      <c r="I29">
        <v>4</v>
      </c>
      <c r="J29" t="s">
        <v>894</v>
      </c>
      <c r="K29">
        <v>5</v>
      </c>
      <c r="L29" t="s">
        <v>20</v>
      </c>
      <c r="M29" t="s">
        <v>84</v>
      </c>
      <c r="N29" t="str">
        <f t="shared" si="0"/>
        <v/>
      </c>
      <c r="O29" t="s">
        <v>896</v>
      </c>
    </row>
    <row r="30" spans="1:15" x14ac:dyDescent="0.35">
      <c r="A30">
        <v>5224</v>
      </c>
      <c r="B30" t="s">
        <v>88</v>
      </c>
      <c r="C30" t="str">
        <f>IFERROR(VLOOKUP(B30,Branches!A:B, 2, FALSE), B30&amp;"(NOT FOUND)")</f>
        <v>Lekki Branch</v>
      </c>
      <c r="D30" s="1">
        <v>45323</v>
      </c>
      <c r="E30" t="s">
        <v>25</v>
      </c>
      <c r="F30" t="str">
        <f>IFERROR(VLOOKUP(E30, Staff!A:B, 2, FALSE), E30&amp;" (NOT FOUND)")</f>
        <v>Tobi Adewale</v>
      </c>
      <c r="G30" t="s">
        <v>64</v>
      </c>
      <c r="H30" t="s">
        <v>116</v>
      </c>
      <c r="I30">
        <v>1</v>
      </c>
      <c r="J30">
        <v>30043.06</v>
      </c>
      <c r="K30" t="s">
        <v>894</v>
      </c>
      <c r="L30" t="s">
        <v>20</v>
      </c>
      <c r="M30" t="s">
        <v>84</v>
      </c>
      <c r="N30">
        <f t="shared" si="0"/>
        <v>30043.06</v>
      </c>
      <c r="O30" t="s">
        <v>894</v>
      </c>
    </row>
    <row r="31" spans="1:15" x14ac:dyDescent="0.35">
      <c r="A31">
        <v>5205</v>
      </c>
      <c r="B31" t="s">
        <v>129</v>
      </c>
      <c r="C31" t="str">
        <f>IFERROR(VLOOKUP(B31,Branches!A:B, 2, FALSE), B31&amp;"(NOT FOUND)")</f>
        <v>Sabon Gari Branch</v>
      </c>
      <c r="D31" s="1">
        <v>45313</v>
      </c>
      <c r="E31" t="s">
        <v>108</v>
      </c>
      <c r="F31" t="str">
        <f>IFERROR(VLOOKUP(E31, Staff!A:B, 2, FALSE), E31&amp;" (NOT FOUND)")</f>
        <v>Ronke Bakare</v>
      </c>
      <c r="G31" t="s">
        <v>16</v>
      </c>
      <c r="H31" t="s">
        <v>109</v>
      </c>
      <c r="I31">
        <v>3</v>
      </c>
      <c r="J31">
        <v>27994.84</v>
      </c>
      <c r="K31" t="s">
        <v>894</v>
      </c>
      <c r="L31" t="s">
        <v>60</v>
      </c>
      <c r="M31" t="s">
        <v>84</v>
      </c>
      <c r="N31">
        <f t="shared" si="0"/>
        <v>83984.52</v>
      </c>
      <c r="O31" t="s">
        <v>895</v>
      </c>
    </row>
    <row r="32" spans="1:15" x14ac:dyDescent="0.35">
      <c r="A32">
        <v>5305</v>
      </c>
      <c r="B32" t="s">
        <v>49</v>
      </c>
      <c r="C32" t="str">
        <f>IFERROR(VLOOKUP(B32,Branches!A:B, 2, FALSE), B32&amp;"(NOT FOUND)")</f>
        <v>BRXX(NOT FOUND)</v>
      </c>
      <c r="D32" s="1">
        <v>45401</v>
      </c>
      <c r="E32" t="s">
        <v>25</v>
      </c>
      <c r="F32" t="str">
        <f>IFERROR(VLOOKUP(E32, Staff!A:B, 2, FALSE), E32&amp;" (NOT FOUND)")</f>
        <v>Tobi Adewale</v>
      </c>
      <c r="G32" t="s">
        <v>64</v>
      </c>
      <c r="H32" t="s">
        <v>133</v>
      </c>
      <c r="I32">
        <v>2</v>
      </c>
      <c r="J32">
        <v>22968.48</v>
      </c>
      <c r="K32" t="s">
        <v>894</v>
      </c>
      <c r="L32" t="s">
        <v>60</v>
      </c>
      <c r="M32" t="s">
        <v>38</v>
      </c>
      <c r="N32">
        <f t="shared" si="0"/>
        <v>45936.959999999999</v>
      </c>
      <c r="O32" t="s">
        <v>896</v>
      </c>
    </row>
    <row r="33" spans="1:15" x14ac:dyDescent="0.35">
      <c r="A33">
        <v>5210</v>
      </c>
      <c r="B33" t="s">
        <v>32</v>
      </c>
      <c r="C33" t="str">
        <f>IFERROR(VLOOKUP(B33,Branches!A:B, 2, FALSE), B33&amp;"(NOT FOUND)")</f>
        <v>Wuse Branch</v>
      </c>
      <c r="D33" s="1">
        <v>45318</v>
      </c>
      <c r="E33" t="s">
        <v>76</v>
      </c>
      <c r="F33" t="str">
        <f>IFERROR(VLOOKUP(E33, Staff!A:B, 2, FALSE), E33&amp;" (NOT FOUND)")</f>
        <v>Chika Nwankwo</v>
      </c>
      <c r="G33" t="s">
        <v>35</v>
      </c>
      <c r="H33" t="s">
        <v>136</v>
      </c>
      <c r="I33">
        <v>3</v>
      </c>
      <c r="J33">
        <v>4354.34</v>
      </c>
      <c r="K33" t="s">
        <v>894</v>
      </c>
      <c r="L33" t="s">
        <v>60</v>
      </c>
      <c r="M33" t="s">
        <v>84</v>
      </c>
      <c r="N33">
        <f t="shared" si="0"/>
        <v>13063.02</v>
      </c>
      <c r="O33" t="s">
        <v>895</v>
      </c>
    </row>
    <row r="34" spans="1:15" x14ac:dyDescent="0.35">
      <c r="A34">
        <v>5008</v>
      </c>
      <c r="B34" t="s">
        <v>129</v>
      </c>
      <c r="C34" t="str">
        <f>IFERROR(VLOOKUP(B34,Branches!A:B, 2, FALSE), B34&amp;"(NOT FOUND)")</f>
        <v>Sabon Gari Branch</v>
      </c>
      <c r="D34" s="1">
        <v>45511</v>
      </c>
      <c r="E34" t="s">
        <v>51</v>
      </c>
      <c r="F34" t="str">
        <f>IFERROR(VLOOKUP(E34, Staff!A:B, 2, FALSE), E34&amp;" (NOT FOUND)")</f>
        <v>Halima Yusuf</v>
      </c>
      <c r="G34" t="s">
        <v>35</v>
      </c>
      <c r="H34" t="s">
        <v>58</v>
      </c>
      <c r="I34">
        <v>1</v>
      </c>
      <c r="J34">
        <v>22080.84</v>
      </c>
      <c r="K34">
        <v>0</v>
      </c>
      <c r="L34" t="s">
        <v>20</v>
      </c>
      <c r="M34" t="s">
        <v>38</v>
      </c>
      <c r="N34">
        <f t="shared" si="0"/>
        <v>22080.84</v>
      </c>
      <c r="O34" t="s">
        <v>895</v>
      </c>
    </row>
    <row r="35" spans="1:15" x14ac:dyDescent="0.35">
      <c r="A35">
        <v>5355</v>
      </c>
      <c r="B35" t="s">
        <v>74</v>
      </c>
      <c r="C35" t="str">
        <f>IFERROR(VLOOKUP(B35,Branches!A:B, 2, FALSE), B35&amp;"(NOT FOUND)")</f>
        <v>Bodija Branch</v>
      </c>
      <c r="D35" s="1">
        <v>45450</v>
      </c>
      <c r="E35" t="s">
        <v>57</v>
      </c>
      <c r="F35" t="str">
        <f>IFERROR(VLOOKUP(E35, Staff!A:B, 2, FALSE), E35&amp;" (NOT FOUND)")</f>
        <v>Kelechi Umeh</v>
      </c>
      <c r="G35" t="s">
        <v>64</v>
      </c>
      <c r="H35" t="s">
        <v>141</v>
      </c>
      <c r="I35">
        <v>5</v>
      </c>
      <c r="J35">
        <v>25569.200000000001</v>
      </c>
      <c r="K35" t="s">
        <v>894</v>
      </c>
      <c r="L35" t="s">
        <v>47</v>
      </c>
      <c r="M35" t="s">
        <v>84</v>
      </c>
      <c r="N35">
        <f t="shared" si="0"/>
        <v>127846</v>
      </c>
      <c r="O35" t="s">
        <v>896</v>
      </c>
    </row>
    <row r="36" spans="1:15" x14ac:dyDescent="0.35">
      <c r="A36">
        <v>5431</v>
      </c>
      <c r="B36" t="s">
        <v>74</v>
      </c>
      <c r="C36" t="str">
        <f>IFERROR(VLOOKUP(B36,Branches!A:B, 2, FALSE), B36&amp;"(NOT FOUND)")</f>
        <v>Bodija Branch</v>
      </c>
      <c r="D36" s="1">
        <v>45352</v>
      </c>
      <c r="E36" t="s">
        <v>51</v>
      </c>
      <c r="F36" t="str">
        <f>IFERROR(VLOOKUP(E36, Staff!A:B, 2, FALSE), E36&amp;" (NOT FOUND)")</f>
        <v>Halima Yusuf</v>
      </c>
      <c r="G36" t="s">
        <v>16</v>
      </c>
      <c r="H36" t="s">
        <v>42</v>
      </c>
      <c r="I36">
        <v>2</v>
      </c>
      <c r="J36">
        <v>36302.69</v>
      </c>
      <c r="K36" t="s">
        <v>894</v>
      </c>
      <c r="L36" t="s">
        <v>47</v>
      </c>
      <c r="M36" t="s">
        <v>84</v>
      </c>
      <c r="N36">
        <f t="shared" si="0"/>
        <v>72605.38</v>
      </c>
      <c r="O36" t="s">
        <v>896</v>
      </c>
    </row>
    <row r="37" spans="1:15" x14ac:dyDescent="0.35">
      <c r="A37">
        <v>5373</v>
      </c>
      <c r="B37" t="s">
        <v>74</v>
      </c>
      <c r="C37" t="str">
        <f>IFERROR(VLOOKUP(B37,Branches!A:B, 2, FALSE), B37&amp;"(NOT FOUND)")</f>
        <v>Bodija Branch</v>
      </c>
      <c r="D37" s="1">
        <v>45359</v>
      </c>
      <c r="E37" t="s">
        <v>25</v>
      </c>
      <c r="F37" t="str">
        <f>IFERROR(VLOOKUP(E37, Staff!A:B, 2, FALSE), E37&amp;" (NOT FOUND)")</f>
        <v>Tobi Adewale</v>
      </c>
      <c r="G37" t="s">
        <v>64</v>
      </c>
      <c r="H37" t="s">
        <v>77</v>
      </c>
      <c r="I37">
        <v>1</v>
      </c>
      <c r="J37">
        <v>12020.08</v>
      </c>
      <c r="K37" t="s">
        <v>894</v>
      </c>
      <c r="L37" t="s">
        <v>47</v>
      </c>
      <c r="M37" t="s">
        <v>84</v>
      </c>
      <c r="N37">
        <f t="shared" si="0"/>
        <v>12020.08</v>
      </c>
      <c r="O37" t="s">
        <v>894</v>
      </c>
    </row>
    <row r="38" spans="1:15" x14ac:dyDescent="0.35">
      <c r="A38">
        <v>5402</v>
      </c>
      <c r="B38" t="s">
        <v>74</v>
      </c>
      <c r="C38" t="str">
        <f>IFERROR(VLOOKUP(B38,Branches!A:B, 2, FALSE), B38&amp;"(NOT FOUND)")</f>
        <v>Bodija Branch</v>
      </c>
      <c r="D38" s="1">
        <v>45342</v>
      </c>
      <c r="E38" t="s">
        <v>15</v>
      </c>
      <c r="F38" t="str">
        <f>IFERROR(VLOOKUP(E38, Staff!A:B, 2, FALSE), E38&amp;" (NOT FOUND)")</f>
        <v>Ibrahim Sani</v>
      </c>
      <c r="G38" t="s">
        <v>35</v>
      </c>
      <c r="H38" t="s">
        <v>58</v>
      </c>
      <c r="I38">
        <v>1</v>
      </c>
      <c r="J38">
        <v>30457.19</v>
      </c>
      <c r="K38" t="s">
        <v>894</v>
      </c>
      <c r="L38" t="s">
        <v>20</v>
      </c>
      <c r="M38" t="s">
        <v>38</v>
      </c>
      <c r="N38">
        <f t="shared" si="0"/>
        <v>30457.19</v>
      </c>
      <c r="O38" t="s">
        <v>895</v>
      </c>
    </row>
    <row r="39" spans="1:15" x14ac:dyDescent="0.35">
      <c r="A39">
        <v>5394</v>
      </c>
      <c r="B39" t="s">
        <v>149</v>
      </c>
      <c r="C39" t="str">
        <f>IFERROR(VLOOKUP(B39,Branches!A:B, 2, FALSE), B39&amp;"(NOT FOUND)")</f>
        <v>BR09(NOT FOUND)</v>
      </c>
      <c r="D39" s="1">
        <v>45325</v>
      </c>
      <c r="E39" t="s">
        <v>108</v>
      </c>
      <c r="F39" t="str">
        <f>IFERROR(VLOOKUP(E39, Staff!A:B, 2, FALSE), E39&amp;" (NOT FOUND)")</f>
        <v>Ronke Bakare</v>
      </c>
      <c r="G39" t="s">
        <v>26</v>
      </c>
      <c r="H39" t="s">
        <v>46</v>
      </c>
      <c r="I39">
        <v>5</v>
      </c>
      <c r="J39" t="s">
        <v>894</v>
      </c>
      <c r="K39" t="s">
        <v>894</v>
      </c>
      <c r="L39" t="s">
        <v>47</v>
      </c>
      <c r="M39" t="s">
        <v>84</v>
      </c>
      <c r="N39" t="str">
        <f t="shared" si="0"/>
        <v/>
      </c>
      <c r="O39" t="s">
        <v>896</v>
      </c>
    </row>
    <row r="40" spans="1:15" x14ac:dyDescent="0.35">
      <c r="A40">
        <v>5103</v>
      </c>
      <c r="B40" t="s">
        <v>129</v>
      </c>
      <c r="C40" t="str">
        <f>IFERROR(VLOOKUP(B40,Branches!A:B, 2, FALSE), B40&amp;"(NOT FOUND)")</f>
        <v>Sabon Gari Branch</v>
      </c>
      <c r="D40" s="1">
        <v>45334</v>
      </c>
      <c r="E40" t="s">
        <v>76</v>
      </c>
      <c r="F40" t="str">
        <f>IFERROR(VLOOKUP(E40, Staff!A:B, 2, FALSE), E40&amp;" (NOT FOUND)")</f>
        <v>Chika Nwankwo</v>
      </c>
      <c r="G40" t="s">
        <v>35</v>
      </c>
      <c r="H40" t="s">
        <v>99</v>
      </c>
      <c r="J40" t="s">
        <v>894</v>
      </c>
      <c r="K40" t="s">
        <v>894</v>
      </c>
      <c r="L40" t="s">
        <v>20</v>
      </c>
      <c r="M40" t="s">
        <v>84</v>
      </c>
      <c r="N40" t="str">
        <f t="shared" si="0"/>
        <v/>
      </c>
      <c r="O40" t="s">
        <v>895</v>
      </c>
    </row>
    <row r="41" spans="1:15" x14ac:dyDescent="0.35">
      <c r="A41">
        <v>5227</v>
      </c>
      <c r="B41" t="s">
        <v>74</v>
      </c>
      <c r="C41" t="str">
        <f>IFERROR(VLOOKUP(B41,Branches!A:B, 2, FALSE), B41&amp;"(NOT FOUND)")</f>
        <v>Bodija Branch</v>
      </c>
      <c r="D41" s="1">
        <v>45447</v>
      </c>
      <c r="E41" t="s">
        <v>76</v>
      </c>
      <c r="F41" t="str">
        <f>IFERROR(VLOOKUP(E41, Staff!A:B, 2, FALSE), E41&amp;" (NOT FOUND)")</f>
        <v>Chika Nwankwo</v>
      </c>
      <c r="G41" t="s">
        <v>64</v>
      </c>
      <c r="H41" t="s">
        <v>77</v>
      </c>
      <c r="J41" t="s">
        <v>894</v>
      </c>
      <c r="K41" t="s">
        <v>894</v>
      </c>
      <c r="L41" t="s">
        <v>60</v>
      </c>
      <c r="M41" t="s">
        <v>38</v>
      </c>
      <c r="N41" t="str">
        <f t="shared" si="0"/>
        <v/>
      </c>
      <c r="O41" t="s">
        <v>895</v>
      </c>
    </row>
    <row r="42" spans="1:15" x14ac:dyDescent="0.35">
      <c r="A42">
        <v>5164</v>
      </c>
      <c r="B42" t="s">
        <v>102</v>
      </c>
      <c r="C42" t="str">
        <f>IFERROR(VLOOKUP(B42,Branches!A:B, 2, FALSE), B42&amp;"(NOT FOUND)")</f>
        <v>GRA Branch</v>
      </c>
      <c r="D42" s="1">
        <v>45561</v>
      </c>
      <c r="E42" t="s">
        <v>34</v>
      </c>
      <c r="F42" t="str">
        <f>IFERROR(VLOOKUP(E42, Staff!A:B, 2, FALSE), E42&amp;" (NOT FOUND)")</f>
        <v>Funke Ajayi</v>
      </c>
      <c r="G42" t="s">
        <v>35</v>
      </c>
      <c r="H42" t="s">
        <v>155</v>
      </c>
      <c r="I42">
        <v>1</v>
      </c>
      <c r="J42">
        <v>1625.54</v>
      </c>
      <c r="K42">
        <v>0</v>
      </c>
      <c r="L42" t="s">
        <v>47</v>
      </c>
      <c r="M42" t="s">
        <v>38</v>
      </c>
      <c r="N42">
        <f t="shared" si="0"/>
        <v>1625.54</v>
      </c>
      <c r="O42" t="s">
        <v>895</v>
      </c>
    </row>
    <row r="43" spans="1:15" x14ac:dyDescent="0.35">
      <c r="A43">
        <v>5171</v>
      </c>
      <c r="B43" t="s">
        <v>129</v>
      </c>
      <c r="C43" t="str">
        <f>IFERROR(VLOOKUP(B43,Branches!A:B, 2, FALSE), B43&amp;"(NOT FOUND)")</f>
        <v>Sabon Gari Branch</v>
      </c>
      <c r="D43" s="1">
        <v>45549</v>
      </c>
      <c r="E43" t="s">
        <v>86</v>
      </c>
      <c r="F43" t="str">
        <f>IFERROR(VLOOKUP(E43, Staff!A:B, 2, FALSE), E43&amp;" (NOT FOUND)")</f>
        <v>Ekene Obi</v>
      </c>
      <c r="G43" t="s">
        <v>16</v>
      </c>
      <c r="H43" t="s">
        <v>82</v>
      </c>
      <c r="I43">
        <v>5</v>
      </c>
      <c r="J43">
        <v>4070.17</v>
      </c>
      <c r="K43" t="s">
        <v>894</v>
      </c>
      <c r="L43" t="s">
        <v>60</v>
      </c>
      <c r="M43" t="s">
        <v>38</v>
      </c>
      <c r="N43">
        <f t="shared" si="0"/>
        <v>20350.849999999999</v>
      </c>
      <c r="O43" t="s">
        <v>894</v>
      </c>
    </row>
    <row r="44" spans="1:15" x14ac:dyDescent="0.35">
      <c r="A44">
        <v>5319</v>
      </c>
      <c r="B44" t="s">
        <v>129</v>
      </c>
      <c r="C44" t="str">
        <f>IFERROR(VLOOKUP(B44,Branches!A:B, 2, FALSE), B44&amp;"(NOT FOUND)")</f>
        <v>Sabon Gari Branch</v>
      </c>
      <c r="D44" s="1">
        <v>45374</v>
      </c>
      <c r="E44" t="s">
        <v>76</v>
      </c>
      <c r="F44" t="str">
        <f>IFERROR(VLOOKUP(E44, Staff!A:B, 2, FALSE), E44&amp;" (NOT FOUND)")</f>
        <v>Chika Nwankwo</v>
      </c>
      <c r="G44" t="s">
        <v>16</v>
      </c>
      <c r="H44" t="s">
        <v>42</v>
      </c>
      <c r="J44" t="s">
        <v>894</v>
      </c>
      <c r="K44">
        <v>0</v>
      </c>
      <c r="L44" t="s">
        <v>60</v>
      </c>
      <c r="M44" t="s">
        <v>84</v>
      </c>
      <c r="N44" t="str">
        <f t="shared" si="0"/>
        <v/>
      </c>
      <c r="O44" t="s">
        <v>896</v>
      </c>
    </row>
    <row r="45" spans="1:15" x14ac:dyDescent="0.35">
      <c r="A45">
        <v>5258</v>
      </c>
      <c r="B45" t="s">
        <v>32</v>
      </c>
      <c r="C45" t="str">
        <f>IFERROR(VLOOKUP(B45,Branches!A:B, 2, FALSE), B45&amp;"(NOT FOUND)")</f>
        <v>Wuse Branch</v>
      </c>
      <c r="D45" s="1">
        <v>45450</v>
      </c>
      <c r="E45" t="s">
        <v>25</v>
      </c>
      <c r="F45" t="str">
        <f>IFERROR(VLOOKUP(E45, Staff!A:B, 2, FALSE), E45&amp;" (NOT FOUND)")</f>
        <v>Tobi Adewale</v>
      </c>
      <c r="G45" t="s">
        <v>64</v>
      </c>
      <c r="H45" t="s">
        <v>133</v>
      </c>
      <c r="I45">
        <v>2</v>
      </c>
      <c r="J45">
        <v>38312.980000000003</v>
      </c>
      <c r="K45">
        <v>10</v>
      </c>
      <c r="L45" t="s">
        <v>47</v>
      </c>
      <c r="M45" t="s">
        <v>38</v>
      </c>
      <c r="N45">
        <f t="shared" si="0"/>
        <v>68963.364000000001</v>
      </c>
      <c r="O45" t="s">
        <v>895</v>
      </c>
    </row>
    <row r="46" spans="1:15" x14ac:dyDescent="0.35">
      <c r="A46">
        <v>5179</v>
      </c>
      <c r="B46" t="s">
        <v>88</v>
      </c>
      <c r="C46" t="str">
        <f>IFERROR(VLOOKUP(B46,Branches!A:B, 2, FALSE), B46&amp;"(NOT FOUND)")</f>
        <v>Lekki Branch</v>
      </c>
      <c r="D46" s="1">
        <v>45413</v>
      </c>
      <c r="E46" t="s">
        <v>15</v>
      </c>
      <c r="F46" t="str">
        <f>IFERROR(VLOOKUP(E46, Staff!A:B, 2, FALSE), E46&amp;" (NOT FOUND)")</f>
        <v>Ibrahim Sani</v>
      </c>
      <c r="G46" t="s">
        <v>35</v>
      </c>
      <c r="H46" t="s">
        <v>155</v>
      </c>
      <c r="I46">
        <v>1</v>
      </c>
      <c r="J46">
        <v>39321.03</v>
      </c>
      <c r="K46">
        <v>0</v>
      </c>
      <c r="L46" t="s">
        <v>47</v>
      </c>
      <c r="M46" t="s">
        <v>84</v>
      </c>
      <c r="N46">
        <f t="shared" si="0"/>
        <v>39321.03</v>
      </c>
      <c r="O46" t="s">
        <v>894</v>
      </c>
    </row>
    <row r="47" spans="1:15" x14ac:dyDescent="0.35">
      <c r="A47">
        <v>5068</v>
      </c>
      <c r="B47" t="s">
        <v>74</v>
      </c>
      <c r="C47" t="str">
        <f>IFERROR(VLOOKUP(B47,Branches!A:B, 2, FALSE), B47&amp;"(NOT FOUND)")</f>
        <v>Bodija Branch</v>
      </c>
      <c r="D47" s="1">
        <v>45432</v>
      </c>
      <c r="E47" t="s">
        <v>108</v>
      </c>
      <c r="F47" t="str">
        <f>IFERROR(VLOOKUP(E47, Staff!A:B, 2, FALSE), E47&amp;" (NOT FOUND)")</f>
        <v>Ronke Bakare</v>
      </c>
      <c r="G47" t="s">
        <v>64</v>
      </c>
      <c r="H47" t="s">
        <v>65</v>
      </c>
      <c r="J47" t="s">
        <v>894</v>
      </c>
      <c r="K47">
        <v>0</v>
      </c>
      <c r="L47" t="s">
        <v>47</v>
      </c>
      <c r="M47" t="s">
        <v>38</v>
      </c>
      <c r="N47" t="str">
        <f t="shared" si="0"/>
        <v/>
      </c>
      <c r="O47" t="s">
        <v>895</v>
      </c>
    </row>
    <row r="48" spans="1:15" x14ac:dyDescent="0.35">
      <c r="A48">
        <v>5088</v>
      </c>
      <c r="B48" t="s">
        <v>32</v>
      </c>
      <c r="C48" t="str">
        <f>IFERROR(VLOOKUP(B48,Branches!A:B, 2, FALSE), B48&amp;"(NOT FOUND)")</f>
        <v>Wuse Branch</v>
      </c>
      <c r="D48" s="1">
        <v>45515</v>
      </c>
      <c r="E48" t="s">
        <v>57</v>
      </c>
      <c r="F48" t="str">
        <f>IFERROR(VLOOKUP(E48, Staff!A:B, 2, FALSE), E48&amp;" (NOT FOUND)")</f>
        <v>Kelechi Umeh</v>
      </c>
      <c r="G48" t="s">
        <v>64</v>
      </c>
      <c r="H48" t="s">
        <v>65</v>
      </c>
      <c r="I48">
        <v>1</v>
      </c>
      <c r="J48" t="s">
        <v>894</v>
      </c>
      <c r="K48">
        <v>10</v>
      </c>
      <c r="L48" t="s">
        <v>20</v>
      </c>
      <c r="M48" t="s">
        <v>84</v>
      </c>
      <c r="N48" t="str">
        <f t="shared" si="0"/>
        <v/>
      </c>
      <c r="O48" t="s">
        <v>894</v>
      </c>
    </row>
    <row r="49" spans="1:15" x14ac:dyDescent="0.35">
      <c r="A49">
        <v>5173</v>
      </c>
      <c r="B49" t="s">
        <v>32</v>
      </c>
      <c r="C49" t="str">
        <f>IFERROR(VLOOKUP(B49,Branches!A:B, 2, FALSE), B49&amp;"(NOT FOUND)")</f>
        <v>Wuse Branch</v>
      </c>
      <c r="D49" s="1">
        <v>45466</v>
      </c>
      <c r="E49" t="s">
        <v>51</v>
      </c>
      <c r="F49" t="str">
        <f>IFERROR(VLOOKUP(E49, Staff!A:B, 2, FALSE), E49&amp;" (NOT FOUND)")</f>
        <v>Halima Yusuf</v>
      </c>
      <c r="G49" t="s">
        <v>26</v>
      </c>
      <c r="H49" t="s">
        <v>167</v>
      </c>
      <c r="I49">
        <v>2</v>
      </c>
      <c r="J49">
        <v>25551.69</v>
      </c>
      <c r="K49">
        <v>5</v>
      </c>
      <c r="L49" t="s">
        <v>47</v>
      </c>
      <c r="M49" t="s">
        <v>84</v>
      </c>
      <c r="N49">
        <f t="shared" si="0"/>
        <v>48548.210999999996</v>
      </c>
      <c r="O49" t="s">
        <v>894</v>
      </c>
    </row>
    <row r="50" spans="1:15" x14ac:dyDescent="0.35">
      <c r="A50">
        <v>5013</v>
      </c>
      <c r="B50" t="s">
        <v>32</v>
      </c>
      <c r="C50" t="str">
        <f>IFERROR(VLOOKUP(B50,Branches!A:B, 2, FALSE), B50&amp;"(NOT FOUND)")</f>
        <v>Wuse Branch</v>
      </c>
      <c r="D50" s="1">
        <v>45404</v>
      </c>
      <c r="E50" t="s">
        <v>15</v>
      </c>
      <c r="F50" t="str">
        <f>IFERROR(VLOOKUP(E50, Staff!A:B, 2, FALSE), E50&amp;" (NOT FOUND)")</f>
        <v>Ibrahim Sani</v>
      </c>
      <c r="G50" t="s">
        <v>16</v>
      </c>
      <c r="H50" t="s">
        <v>170</v>
      </c>
      <c r="I50">
        <v>4</v>
      </c>
      <c r="J50">
        <v>12033.26</v>
      </c>
      <c r="K50">
        <v>15</v>
      </c>
      <c r="L50" t="s">
        <v>47</v>
      </c>
      <c r="M50" t="s">
        <v>38</v>
      </c>
      <c r="N50">
        <f t="shared" si="0"/>
        <v>40913.084000000003</v>
      </c>
      <c r="O50" t="s">
        <v>896</v>
      </c>
    </row>
    <row r="51" spans="1:15" x14ac:dyDescent="0.35">
      <c r="A51">
        <v>5496</v>
      </c>
      <c r="B51" t="s">
        <v>32</v>
      </c>
      <c r="C51" t="str">
        <f>IFERROR(VLOOKUP(B51,Branches!A:B, 2, FALSE), B51&amp;"(NOT FOUND)")</f>
        <v>Wuse Branch</v>
      </c>
      <c r="D51" s="1">
        <v>45295</v>
      </c>
      <c r="E51" t="s">
        <v>76</v>
      </c>
      <c r="F51" t="str">
        <f>IFERROR(VLOOKUP(E51, Staff!A:B, 2, FALSE), E51&amp;" (NOT FOUND)")</f>
        <v>Chika Nwankwo</v>
      </c>
      <c r="G51" t="s">
        <v>16</v>
      </c>
      <c r="H51" t="s">
        <v>170</v>
      </c>
      <c r="I51">
        <v>3</v>
      </c>
      <c r="J51">
        <v>26033.94</v>
      </c>
      <c r="K51">
        <v>10</v>
      </c>
      <c r="L51" t="s">
        <v>47</v>
      </c>
      <c r="M51" t="s">
        <v>38</v>
      </c>
      <c r="N51">
        <f t="shared" si="0"/>
        <v>70291.637999999992</v>
      </c>
      <c r="O51" t="s">
        <v>896</v>
      </c>
    </row>
    <row r="52" spans="1:15" x14ac:dyDescent="0.35">
      <c r="A52">
        <v>5473</v>
      </c>
      <c r="B52" t="s">
        <v>32</v>
      </c>
      <c r="C52" t="str">
        <f>IFERROR(VLOOKUP(B52,Branches!A:B, 2, FALSE), B52&amp;"(NOT FOUND)")</f>
        <v>Wuse Branch</v>
      </c>
      <c r="D52" s="1">
        <v>45395</v>
      </c>
      <c r="E52" t="s">
        <v>15</v>
      </c>
      <c r="F52" t="str">
        <f>IFERROR(VLOOKUP(E52, Staff!A:B, 2, FALSE), E52&amp;" (NOT FOUND)")</f>
        <v>Ibrahim Sani</v>
      </c>
      <c r="G52" t="s">
        <v>26</v>
      </c>
      <c r="H52" t="s">
        <v>167</v>
      </c>
      <c r="J52" t="s">
        <v>894</v>
      </c>
      <c r="K52">
        <v>5</v>
      </c>
      <c r="L52" t="s">
        <v>47</v>
      </c>
      <c r="M52" t="s">
        <v>84</v>
      </c>
      <c r="N52" t="str">
        <f t="shared" si="0"/>
        <v/>
      </c>
      <c r="O52" t="s">
        <v>896</v>
      </c>
    </row>
    <row r="53" spans="1:15" x14ac:dyDescent="0.35">
      <c r="A53">
        <v>5208</v>
      </c>
      <c r="B53" t="s">
        <v>74</v>
      </c>
      <c r="C53" t="str">
        <f>IFERROR(VLOOKUP(B53,Branches!A:B, 2, FALSE), B53&amp;"(NOT FOUND)")</f>
        <v>Bodija Branch</v>
      </c>
      <c r="D53" s="1">
        <v>45405</v>
      </c>
      <c r="E53" t="s">
        <v>86</v>
      </c>
      <c r="F53" t="str">
        <f>IFERROR(VLOOKUP(E53, Staff!A:B, 2, FALSE), E53&amp;" (NOT FOUND)")</f>
        <v>Ekene Obi</v>
      </c>
      <c r="G53" t="s">
        <v>26</v>
      </c>
      <c r="H53" t="s">
        <v>112</v>
      </c>
      <c r="J53" t="s">
        <v>894</v>
      </c>
      <c r="K53" t="s">
        <v>894</v>
      </c>
      <c r="L53" t="s">
        <v>60</v>
      </c>
      <c r="M53" t="s">
        <v>38</v>
      </c>
      <c r="N53" t="str">
        <f t="shared" si="0"/>
        <v/>
      </c>
      <c r="O53" t="s">
        <v>896</v>
      </c>
    </row>
    <row r="54" spans="1:15" x14ac:dyDescent="0.35">
      <c r="A54">
        <v>5213</v>
      </c>
      <c r="B54" t="s">
        <v>74</v>
      </c>
      <c r="C54" t="str">
        <f>IFERROR(VLOOKUP(B54,Branches!A:B, 2, FALSE), B54&amp;"(NOT FOUND)")</f>
        <v>Bodija Branch</v>
      </c>
      <c r="D54" s="1">
        <v>45546</v>
      </c>
      <c r="E54" t="s">
        <v>108</v>
      </c>
      <c r="F54" t="str">
        <f>IFERROR(VLOOKUP(E54, Staff!A:B, 2, FALSE), E54&amp;" (NOT FOUND)")</f>
        <v>Ronke Bakare</v>
      </c>
      <c r="G54" t="s">
        <v>35</v>
      </c>
      <c r="H54" t="s">
        <v>58</v>
      </c>
      <c r="I54">
        <v>4</v>
      </c>
      <c r="J54">
        <v>38686.51</v>
      </c>
      <c r="K54" t="s">
        <v>894</v>
      </c>
      <c r="L54" t="s">
        <v>20</v>
      </c>
      <c r="M54" t="s">
        <v>84</v>
      </c>
      <c r="N54">
        <f t="shared" si="0"/>
        <v>154746.04</v>
      </c>
      <c r="O54" t="s">
        <v>896</v>
      </c>
    </row>
    <row r="55" spans="1:15" x14ac:dyDescent="0.35">
      <c r="A55">
        <v>5109</v>
      </c>
      <c r="B55" t="s">
        <v>102</v>
      </c>
      <c r="C55" t="str">
        <f>IFERROR(VLOOKUP(B55,Branches!A:B, 2, FALSE), B55&amp;"(NOT FOUND)")</f>
        <v>GRA Branch</v>
      </c>
      <c r="D55" s="1">
        <v>45523</v>
      </c>
      <c r="E55" t="s">
        <v>108</v>
      </c>
      <c r="F55" t="str">
        <f>IFERROR(VLOOKUP(E55, Staff!A:B, 2, FALSE), E55&amp;" (NOT FOUND)")</f>
        <v>Ronke Bakare</v>
      </c>
      <c r="G55" t="s">
        <v>26</v>
      </c>
      <c r="H55" t="s">
        <v>52</v>
      </c>
      <c r="I55">
        <v>1</v>
      </c>
      <c r="J55" t="s">
        <v>894</v>
      </c>
      <c r="K55">
        <v>15</v>
      </c>
      <c r="L55" t="s">
        <v>60</v>
      </c>
      <c r="M55" t="s">
        <v>84</v>
      </c>
      <c r="N55" t="str">
        <f t="shared" si="0"/>
        <v/>
      </c>
      <c r="O55" t="s">
        <v>894</v>
      </c>
    </row>
    <row r="56" spans="1:15" x14ac:dyDescent="0.35">
      <c r="A56">
        <v>5178</v>
      </c>
      <c r="B56" t="s">
        <v>102</v>
      </c>
      <c r="C56" t="str">
        <f>IFERROR(VLOOKUP(B56,Branches!A:B, 2, FALSE), B56&amp;"(NOT FOUND)")</f>
        <v>GRA Branch</v>
      </c>
      <c r="D56" s="1">
        <v>45365</v>
      </c>
      <c r="E56" t="s">
        <v>108</v>
      </c>
      <c r="F56" t="str">
        <f>IFERROR(VLOOKUP(E56, Staff!A:B, 2, FALSE), E56&amp;" (NOT FOUND)")</f>
        <v>Ronke Bakare</v>
      </c>
      <c r="G56" t="s">
        <v>64</v>
      </c>
      <c r="H56" t="s">
        <v>65</v>
      </c>
      <c r="J56">
        <v>20943.64</v>
      </c>
      <c r="K56" t="s">
        <v>894</v>
      </c>
      <c r="L56" t="s">
        <v>20</v>
      </c>
      <c r="M56" t="s">
        <v>84</v>
      </c>
      <c r="N56" t="str">
        <f t="shared" si="0"/>
        <v/>
      </c>
      <c r="O56" t="s">
        <v>895</v>
      </c>
    </row>
    <row r="57" spans="1:15" x14ac:dyDescent="0.35">
      <c r="A57">
        <v>5456</v>
      </c>
      <c r="B57" t="s">
        <v>88</v>
      </c>
      <c r="C57" t="str">
        <f>IFERROR(VLOOKUP(B57,Branches!A:B, 2, FALSE), B57&amp;"(NOT FOUND)")</f>
        <v>Lekki Branch</v>
      </c>
      <c r="D57" s="1">
        <v>45457</v>
      </c>
      <c r="E57" t="s">
        <v>57</v>
      </c>
      <c r="F57" t="str">
        <f>IFERROR(VLOOKUP(E57, Staff!A:B, 2, FALSE), E57&amp;" (NOT FOUND)")</f>
        <v>Kelechi Umeh</v>
      </c>
      <c r="G57" t="s">
        <v>64</v>
      </c>
      <c r="H57" t="s">
        <v>116</v>
      </c>
      <c r="J57">
        <v>8059.7</v>
      </c>
      <c r="K57">
        <v>15</v>
      </c>
      <c r="L57" t="s">
        <v>20</v>
      </c>
      <c r="M57" t="s">
        <v>38</v>
      </c>
      <c r="N57" t="str">
        <f t="shared" si="0"/>
        <v/>
      </c>
      <c r="O57" t="s">
        <v>895</v>
      </c>
    </row>
    <row r="58" spans="1:15" x14ac:dyDescent="0.35">
      <c r="A58">
        <v>5065</v>
      </c>
      <c r="B58" t="s">
        <v>32</v>
      </c>
      <c r="C58" t="str">
        <f>IFERROR(VLOOKUP(B58,Branches!A:B, 2, FALSE), B58&amp;"(NOT FOUND)")</f>
        <v>Wuse Branch</v>
      </c>
      <c r="D58" s="1">
        <v>45419</v>
      </c>
      <c r="E58" t="s">
        <v>76</v>
      </c>
      <c r="F58" t="str">
        <f>IFERROR(VLOOKUP(E58, Staff!A:B, 2, FALSE), E58&amp;" (NOT FOUND)")</f>
        <v>Chika Nwankwo</v>
      </c>
      <c r="G58" t="s">
        <v>64</v>
      </c>
      <c r="H58" t="s">
        <v>133</v>
      </c>
      <c r="I58">
        <v>4</v>
      </c>
      <c r="J58">
        <v>24977.31</v>
      </c>
      <c r="K58" t="s">
        <v>894</v>
      </c>
      <c r="L58" t="s">
        <v>60</v>
      </c>
      <c r="M58" t="s">
        <v>38</v>
      </c>
      <c r="N58">
        <f t="shared" si="0"/>
        <v>99909.24</v>
      </c>
      <c r="O58" t="s">
        <v>896</v>
      </c>
    </row>
    <row r="59" spans="1:15" x14ac:dyDescent="0.35">
      <c r="A59">
        <v>5097</v>
      </c>
      <c r="B59" t="s">
        <v>32</v>
      </c>
      <c r="C59" t="str">
        <f>IFERROR(VLOOKUP(B59,Branches!A:B, 2, FALSE), B59&amp;"(NOT FOUND)")</f>
        <v>Wuse Branch</v>
      </c>
      <c r="D59" s="1">
        <v>45444</v>
      </c>
      <c r="E59" t="s">
        <v>15</v>
      </c>
      <c r="F59" t="str">
        <f>IFERROR(VLOOKUP(E59, Staff!A:B, 2, FALSE), E59&amp;" (NOT FOUND)")</f>
        <v>Ibrahim Sani</v>
      </c>
      <c r="G59" t="s">
        <v>35</v>
      </c>
      <c r="H59" t="s">
        <v>58</v>
      </c>
      <c r="I59">
        <v>5</v>
      </c>
      <c r="J59">
        <v>7972.12</v>
      </c>
      <c r="K59" t="s">
        <v>894</v>
      </c>
      <c r="L59" t="s">
        <v>20</v>
      </c>
      <c r="M59" t="s">
        <v>84</v>
      </c>
      <c r="N59">
        <f t="shared" si="0"/>
        <v>39860.6</v>
      </c>
      <c r="O59" t="s">
        <v>895</v>
      </c>
    </row>
    <row r="60" spans="1:15" x14ac:dyDescent="0.35">
      <c r="A60">
        <v>5375</v>
      </c>
      <c r="B60" t="s">
        <v>102</v>
      </c>
      <c r="C60" t="str">
        <f>IFERROR(VLOOKUP(B60,Branches!A:B, 2, FALSE), B60&amp;"(NOT FOUND)")</f>
        <v>GRA Branch</v>
      </c>
      <c r="D60" s="1">
        <v>45548</v>
      </c>
      <c r="E60" t="s">
        <v>51</v>
      </c>
      <c r="F60" t="str">
        <f>IFERROR(VLOOKUP(E60, Staff!A:B, 2, FALSE), E60&amp;" (NOT FOUND)")</f>
        <v>Halima Yusuf</v>
      </c>
      <c r="G60" t="s">
        <v>16</v>
      </c>
      <c r="H60" t="s">
        <v>170</v>
      </c>
      <c r="I60">
        <v>1</v>
      </c>
      <c r="J60">
        <v>44802.54</v>
      </c>
      <c r="K60" t="s">
        <v>894</v>
      </c>
      <c r="L60" t="s">
        <v>20</v>
      </c>
      <c r="M60" t="s">
        <v>84</v>
      </c>
      <c r="N60">
        <f t="shared" si="0"/>
        <v>44802.54</v>
      </c>
      <c r="O60" t="s">
        <v>895</v>
      </c>
    </row>
    <row r="61" spans="1:15" x14ac:dyDescent="0.35">
      <c r="A61">
        <v>5005</v>
      </c>
      <c r="B61" t="s">
        <v>32</v>
      </c>
      <c r="C61" t="str">
        <f>IFERROR(VLOOKUP(B61,Branches!A:B, 2, FALSE), B61&amp;"(NOT FOUND)")</f>
        <v>Wuse Branch</v>
      </c>
      <c r="D61" s="1">
        <v>45325</v>
      </c>
      <c r="E61" t="s">
        <v>25</v>
      </c>
      <c r="F61" t="str">
        <f>IFERROR(VLOOKUP(E61, Staff!A:B, 2, FALSE), E61&amp;" (NOT FOUND)")</f>
        <v>Tobi Adewale</v>
      </c>
      <c r="G61" t="s">
        <v>64</v>
      </c>
      <c r="H61" t="s">
        <v>141</v>
      </c>
      <c r="I61">
        <v>5</v>
      </c>
      <c r="J61">
        <v>22602.03</v>
      </c>
      <c r="K61" t="s">
        <v>894</v>
      </c>
      <c r="L61" t="s">
        <v>20</v>
      </c>
      <c r="M61" t="s">
        <v>38</v>
      </c>
      <c r="N61">
        <f t="shared" si="0"/>
        <v>113010.15</v>
      </c>
      <c r="O61" t="s">
        <v>895</v>
      </c>
    </row>
    <row r="62" spans="1:15" x14ac:dyDescent="0.35">
      <c r="A62">
        <v>5282</v>
      </c>
      <c r="B62" t="s">
        <v>32</v>
      </c>
      <c r="C62" t="str">
        <f>IFERROR(VLOOKUP(B62,Branches!A:B, 2, FALSE), B62&amp;"(NOT FOUND)")</f>
        <v>Wuse Branch</v>
      </c>
      <c r="D62" s="1">
        <v>45428</v>
      </c>
      <c r="E62" t="s">
        <v>51</v>
      </c>
      <c r="F62" t="str">
        <f>IFERROR(VLOOKUP(E62, Staff!A:B, 2, FALSE), E62&amp;" (NOT FOUND)")</f>
        <v>Halima Yusuf</v>
      </c>
      <c r="G62" t="s">
        <v>35</v>
      </c>
      <c r="H62" t="s">
        <v>36</v>
      </c>
      <c r="I62">
        <v>3</v>
      </c>
      <c r="J62">
        <v>17413.919999999998</v>
      </c>
      <c r="K62">
        <v>5</v>
      </c>
      <c r="L62" t="s">
        <v>47</v>
      </c>
      <c r="M62" t="s">
        <v>84</v>
      </c>
      <c r="N62">
        <f t="shared" si="0"/>
        <v>49629.671999999991</v>
      </c>
      <c r="O62" t="s">
        <v>896</v>
      </c>
    </row>
    <row r="63" spans="1:15" x14ac:dyDescent="0.35">
      <c r="A63">
        <v>5056</v>
      </c>
      <c r="B63" t="s">
        <v>88</v>
      </c>
      <c r="C63" t="str">
        <f>IFERROR(VLOOKUP(B63,Branches!A:B, 2, FALSE), B63&amp;"(NOT FOUND)")</f>
        <v>Lekki Branch</v>
      </c>
      <c r="D63" s="1">
        <v>45429</v>
      </c>
      <c r="E63" t="s">
        <v>108</v>
      </c>
      <c r="F63" t="str">
        <f>IFERROR(VLOOKUP(E63, Staff!A:B, 2, FALSE), E63&amp;" (NOT FOUND)")</f>
        <v>Ronke Bakare</v>
      </c>
      <c r="G63" t="s">
        <v>35</v>
      </c>
      <c r="H63" t="s">
        <v>58</v>
      </c>
      <c r="I63">
        <v>4</v>
      </c>
      <c r="J63">
        <v>28103.69</v>
      </c>
      <c r="K63" t="s">
        <v>894</v>
      </c>
      <c r="L63" t="s">
        <v>47</v>
      </c>
      <c r="M63" t="s">
        <v>38</v>
      </c>
      <c r="N63">
        <f t="shared" si="0"/>
        <v>112414.76</v>
      </c>
      <c r="O63" t="s">
        <v>895</v>
      </c>
    </row>
    <row r="64" spans="1:15" x14ac:dyDescent="0.35">
      <c r="A64">
        <v>5189</v>
      </c>
      <c r="B64" t="s">
        <v>102</v>
      </c>
      <c r="C64" t="str">
        <f>IFERROR(VLOOKUP(B64,Branches!A:B, 2, FALSE), B64&amp;"(NOT FOUND)")</f>
        <v>GRA Branch</v>
      </c>
      <c r="D64" s="1">
        <v>45527</v>
      </c>
      <c r="E64" t="s">
        <v>51</v>
      </c>
      <c r="F64" t="str">
        <f>IFERROR(VLOOKUP(E64, Staff!A:B, 2, FALSE), E64&amp;" (NOT FOUND)")</f>
        <v>Halima Yusuf</v>
      </c>
      <c r="G64" t="s">
        <v>16</v>
      </c>
      <c r="H64" t="s">
        <v>42</v>
      </c>
      <c r="I64">
        <v>2</v>
      </c>
      <c r="J64">
        <v>20149.29</v>
      </c>
      <c r="K64" t="s">
        <v>894</v>
      </c>
      <c r="L64" t="s">
        <v>47</v>
      </c>
      <c r="M64" t="s">
        <v>84</v>
      </c>
      <c r="N64">
        <f t="shared" si="0"/>
        <v>40298.58</v>
      </c>
      <c r="O64" t="s">
        <v>895</v>
      </c>
    </row>
    <row r="65" spans="1:15" x14ac:dyDescent="0.35">
      <c r="A65">
        <v>5464</v>
      </c>
      <c r="B65" t="s">
        <v>88</v>
      </c>
      <c r="C65" t="str">
        <f>IFERROR(VLOOKUP(B65,Branches!A:B, 2, FALSE), B65&amp;"(NOT FOUND)")</f>
        <v>Lekki Branch</v>
      </c>
      <c r="D65" s="1">
        <v>45521</v>
      </c>
      <c r="E65" t="s">
        <v>25</v>
      </c>
      <c r="F65" t="str">
        <f>IFERROR(VLOOKUP(E65, Staff!A:B, 2, FALSE), E65&amp;" (NOT FOUND)")</f>
        <v>Tobi Adewale</v>
      </c>
      <c r="G65" t="s">
        <v>64</v>
      </c>
      <c r="H65" t="s">
        <v>77</v>
      </c>
      <c r="I65">
        <v>4</v>
      </c>
      <c r="J65" t="s">
        <v>894</v>
      </c>
      <c r="K65" t="s">
        <v>894</v>
      </c>
      <c r="L65" t="s">
        <v>20</v>
      </c>
      <c r="M65" t="s">
        <v>38</v>
      </c>
      <c r="N65" t="str">
        <f t="shared" si="0"/>
        <v/>
      </c>
      <c r="O65" t="s">
        <v>895</v>
      </c>
    </row>
    <row r="66" spans="1:15" x14ac:dyDescent="0.35">
      <c r="A66">
        <v>5121</v>
      </c>
      <c r="B66" t="s">
        <v>32</v>
      </c>
      <c r="C66" t="str">
        <f>IFERROR(VLOOKUP(B66,Branches!A:B, 2, FALSE), B66&amp;"(NOT FOUND)")</f>
        <v>Wuse Branch</v>
      </c>
      <c r="D66" s="1">
        <v>45430</v>
      </c>
      <c r="E66" t="s">
        <v>76</v>
      </c>
      <c r="F66" t="str">
        <f>IFERROR(VLOOKUP(E66, Staff!A:B, 2, FALSE), E66&amp;" (NOT FOUND)")</f>
        <v>Chika Nwankwo</v>
      </c>
      <c r="G66" t="s">
        <v>35</v>
      </c>
      <c r="H66" t="s">
        <v>99</v>
      </c>
      <c r="I66">
        <v>2</v>
      </c>
      <c r="J66" t="s">
        <v>894</v>
      </c>
      <c r="K66">
        <v>15</v>
      </c>
      <c r="L66" t="s">
        <v>47</v>
      </c>
      <c r="M66" t="s">
        <v>38</v>
      </c>
      <c r="N66" t="str">
        <f t="shared" si="0"/>
        <v/>
      </c>
      <c r="O66" t="s">
        <v>896</v>
      </c>
    </row>
    <row r="67" spans="1:15" x14ac:dyDescent="0.35">
      <c r="A67">
        <v>5325</v>
      </c>
      <c r="B67" t="s">
        <v>102</v>
      </c>
      <c r="C67" t="str">
        <f>IFERROR(VLOOKUP(B67,Branches!A:B, 2, FALSE), B67&amp;"(NOT FOUND)")</f>
        <v>GRA Branch</v>
      </c>
      <c r="D67" s="1">
        <v>45323</v>
      </c>
      <c r="E67" t="s">
        <v>51</v>
      </c>
      <c r="F67" t="str">
        <f>IFERROR(VLOOKUP(E67, Staff!A:B, 2, FALSE), E67&amp;" (NOT FOUND)")</f>
        <v>Halima Yusuf</v>
      </c>
      <c r="G67" t="s">
        <v>16</v>
      </c>
      <c r="H67" t="s">
        <v>109</v>
      </c>
      <c r="I67">
        <v>3</v>
      </c>
      <c r="J67">
        <v>15467.23</v>
      </c>
      <c r="K67">
        <v>15</v>
      </c>
      <c r="L67" t="s">
        <v>47</v>
      </c>
      <c r="M67" t="s">
        <v>38</v>
      </c>
      <c r="N67">
        <f t="shared" ref="N67:N130" si="1">IF(OR(I67="",J67=""),"",IF(OR(K67="", K67=0), I67*J67, (I67*J67)-(K67/100)*I67*J67))</f>
        <v>39441.436500000003</v>
      </c>
      <c r="O67" t="s">
        <v>895</v>
      </c>
    </row>
    <row r="68" spans="1:15" x14ac:dyDescent="0.35">
      <c r="A68">
        <v>5487</v>
      </c>
      <c r="B68" t="s">
        <v>74</v>
      </c>
      <c r="C68" t="str">
        <f>IFERROR(VLOOKUP(B68,Branches!A:B, 2, FALSE), B68&amp;"(NOT FOUND)")</f>
        <v>Bodija Branch</v>
      </c>
      <c r="D68" s="1">
        <v>45542</v>
      </c>
      <c r="E68" t="s">
        <v>86</v>
      </c>
      <c r="F68" t="str">
        <f>IFERROR(VLOOKUP(E68, Staff!A:B, 2, FALSE), E68&amp;" (NOT FOUND)")</f>
        <v>Ekene Obi</v>
      </c>
      <c r="G68" t="s">
        <v>64</v>
      </c>
      <c r="H68" t="s">
        <v>133</v>
      </c>
      <c r="I68">
        <v>2</v>
      </c>
      <c r="J68">
        <v>24278.799999999999</v>
      </c>
      <c r="K68" t="s">
        <v>894</v>
      </c>
      <c r="L68" t="s">
        <v>47</v>
      </c>
      <c r="M68" t="s">
        <v>38</v>
      </c>
      <c r="N68">
        <f t="shared" si="1"/>
        <v>48557.599999999999</v>
      </c>
      <c r="O68" t="s">
        <v>895</v>
      </c>
    </row>
    <row r="69" spans="1:15" x14ac:dyDescent="0.35">
      <c r="A69">
        <v>5297</v>
      </c>
      <c r="B69" t="s">
        <v>88</v>
      </c>
      <c r="C69" t="str">
        <f>IFERROR(VLOOKUP(B69,Branches!A:B, 2, FALSE), B69&amp;"(NOT FOUND)")</f>
        <v>Lekki Branch</v>
      </c>
      <c r="D69" s="1">
        <v>45572</v>
      </c>
      <c r="E69" t="s">
        <v>15</v>
      </c>
      <c r="F69" t="str">
        <f>IFERROR(VLOOKUP(E69, Staff!A:B, 2, FALSE), E69&amp;" (NOT FOUND)")</f>
        <v>Ibrahim Sani</v>
      </c>
      <c r="G69" t="s">
        <v>16</v>
      </c>
      <c r="H69" t="s">
        <v>42</v>
      </c>
      <c r="I69">
        <v>1</v>
      </c>
      <c r="J69">
        <v>42864.9</v>
      </c>
      <c r="K69" t="s">
        <v>894</v>
      </c>
      <c r="L69" t="s">
        <v>47</v>
      </c>
      <c r="M69" t="s">
        <v>38</v>
      </c>
      <c r="N69">
        <f t="shared" si="1"/>
        <v>42864.9</v>
      </c>
      <c r="O69" t="s">
        <v>895</v>
      </c>
    </row>
    <row r="70" spans="1:15" x14ac:dyDescent="0.35">
      <c r="A70">
        <v>5199</v>
      </c>
      <c r="B70" t="s">
        <v>88</v>
      </c>
      <c r="C70" t="str">
        <f>IFERROR(VLOOKUP(B70,Branches!A:B, 2, FALSE), B70&amp;"(NOT FOUND)")</f>
        <v>Lekki Branch</v>
      </c>
      <c r="D70" s="1">
        <v>45532</v>
      </c>
      <c r="E70" t="s">
        <v>76</v>
      </c>
      <c r="F70" t="str">
        <f>IFERROR(VLOOKUP(E70, Staff!A:B, 2, FALSE), E70&amp;" (NOT FOUND)")</f>
        <v>Chika Nwankwo</v>
      </c>
      <c r="G70" t="s">
        <v>16</v>
      </c>
      <c r="H70" t="s">
        <v>17</v>
      </c>
      <c r="I70">
        <v>3</v>
      </c>
      <c r="J70">
        <v>30975.87</v>
      </c>
      <c r="K70">
        <v>15</v>
      </c>
      <c r="L70" t="s">
        <v>20</v>
      </c>
      <c r="M70" t="s">
        <v>84</v>
      </c>
      <c r="N70">
        <f t="shared" si="1"/>
        <v>78988.468500000003</v>
      </c>
      <c r="O70" t="s">
        <v>895</v>
      </c>
    </row>
    <row r="71" spans="1:15" x14ac:dyDescent="0.35">
      <c r="A71">
        <v>5009</v>
      </c>
      <c r="B71" t="s">
        <v>32</v>
      </c>
      <c r="C71" t="str">
        <f>IFERROR(VLOOKUP(B71,Branches!A:B, 2, FALSE), B71&amp;"(NOT FOUND)")</f>
        <v>Wuse Branch</v>
      </c>
      <c r="D71" s="1">
        <v>45517</v>
      </c>
      <c r="E71" t="s">
        <v>76</v>
      </c>
      <c r="F71" t="str">
        <f>IFERROR(VLOOKUP(E71, Staff!A:B, 2, FALSE), E71&amp;" (NOT FOUND)")</f>
        <v>Chika Nwankwo</v>
      </c>
      <c r="G71" t="s">
        <v>26</v>
      </c>
      <c r="H71" t="s">
        <v>112</v>
      </c>
      <c r="I71">
        <v>4</v>
      </c>
      <c r="J71" t="s">
        <v>894</v>
      </c>
      <c r="K71">
        <v>10</v>
      </c>
      <c r="L71" t="s">
        <v>47</v>
      </c>
      <c r="M71" t="s">
        <v>38</v>
      </c>
      <c r="N71" t="str">
        <f t="shared" si="1"/>
        <v/>
      </c>
      <c r="O71" t="s">
        <v>896</v>
      </c>
    </row>
    <row r="72" spans="1:15" x14ac:dyDescent="0.35">
      <c r="A72">
        <v>5389</v>
      </c>
      <c r="B72" t="s">
        <v>129</v>
      </c>
      <c r="C72" t="str">
        <f>IFERROR(VLOOKUP(B72,Branches!A:B, 2, FALSE), B72&amp;"(NOT FOUND)")</f>
        <v>Sabon Gari Branch</v>
      </c>
      <c r="D72" s="1">
        <v>45440</v>
      </c>
      <c r="E72" t="s">
        <v>57</v>
      </c>
      <c r="F72" t="str">
        <f>IFERROR(VLOOKUP(E72, Staff!A:B, 2, FALSE), E72&amp;" (NOT FOUND)")</f>
        <v>Kelechi Umeh</v>
      </c>
      <c r="G72" t="s">
        <v>35</v>
      </c>
      <c r="H72" t="s">
        <v>136</v>
      </c>
      <c r="I72">
        <v>3</v>
      </c>
      <c r="J72">
        <v>18262.87</v>
      </c>
      <c r="K72" t="s">
        <v>894</v>
      </c>
      <c r="L72" t="s">
        <v>60</v>
      </c>
      <c r="M72" t="s">
        <v>38</v>
      </c>
      <c r="N72">
        <f t="shared" si="1"/>
        <v>54788.61</v>
      </c>
      <c r="O72" t="s">
        <v>894</v>
      </c>
    </row>
    <row r="73" spans="1:15" x14ac:dyDescent="0.35">
      <c r="A73">
        <v>5430</v>
      </c>
      <c r="B73" t="s">
        <v>88</v>
      </c>
      <c r="C73" t="str">
        <f>IFERROR(VLOOKUP(B73,Branches!A:B, 2, FALSE), B73&amp;"(NOT FOUND)")</f>
        <v>Lekki Branch</v>
      </c>
      <c r="D73" s="1">
        <v>45446</v>
      </c>
      <c r="E73" t="s">
        <v>15</v>
      </c>
      <c r="F73" t="str">
        <f>IFERROR(VLOOKUP(E73, Staff!A:B, 2, FALSE), E73&amp;" (NOT FOUND)")</f>
        <v>Ibrahim Sani</v>
      </c>
      <c r="G73" t="s">
        <v>35</v>
      </c>
      <c r="H73" t="s">
        <v>155</v>
      </c>
      <c r="I73">
        <v>2</v>
      </c>
      <c r="J73" t="s">
        <v>894</v>
      </c>
      <c r="K73" t="s">
        <v>894</v>
      </c>
      <c r="L73" t="s">
        <v>47</v>
      </c>
      <c r="M73" t="s">
        <v>84</v>
      </c>
      <c r="N73" t="str">
        <f t="shared" si="1"/>
        <v/>
      </c>
      <c r="O73" t="s">
        <v>895</v>
      </c>
    </row>
    <row r="74" spans="1:15" x14ac:dyDescent="0.35">
      <c r="A74">
        <v>5339</v>
      </c>
      <c r="B74" t="s">
        <v>74</v>
      </c>
      <c r="C74" t="str">
        <f>IFERROR(VLOOKUP(B74,Branches!A:B, 2, FALSE), B74&amp;"(NOT FOUND)")</f>
        <v>Bodija Branch</v>
      </c>
      <c r="D74" s="1">
        <v>45321</v>
      </c>
      <c r="E74" t="s">
        <v>15</v>
      </c>
      <c r="F74" t="str">
        <f>IFERROR(VLOOKUP(E74, Staff!A:B, 2, FALSE), E74&amp;" (NOT FOUND)")</f>
        <v>Ibrahim Sani</v>
      </c>
      <c r="G74" t="s">
        <v>35</v>
      </c>
      <c r="H74" t="s">
        <v>36</v>
      </c>
      <c r="I74">
        <v>3</v>
      </c>
      <c r="J74" t="s">
        <v>894</v>
      </c>
      <c r="K74">
        <v>10</v>
      </c>
      <c r="L74" t="s">
        <v>20</v>
      </c>
      <c r="M74" t="s">
        <v>38</v>
      </c>
      <c r="N74" t="str">
        <f t="shared" si="1"/>
        <v/>
      </c>
      <c r="O74" t="s">
        <v>896</v>
      </c>
    </row>
    <row r="75" spans="1:15" x14ac:dyDescent="0.35">
      <c r="A75">
        <v>5470</v>
      </c>
      <c r="B75" t="s">
        <v>88</v>
      </c>
      <c r="C75" t="str">
        <f>IFERROR(VLOOKUP(B75,Branches!A:B, 2, FALSE), B75&amp;"(NOT FOUND)")</f>
        <v>Lekki Branch</v>
      </c>
      <c r="D75" s="1">
        <v>45439</v>
      </c>
      <c r="E75" t="s">
        <v>51</v>
      </c>
      <c r="F75" t="str">
        <f>IFERROR(VLOOKUP(E75, Staff!A:B, 2, FALSE), E75&amp;" (NOT FOUND)")</f>
        <v>Halima Yusuf</v>
      </c>
      <c r="G75" t="s">
        <v>16</v>
      </c>
      <c r="H75" t="s">
        <v>109</v>
      </c>
      <c r="J75">
        <v>32283.11</v>
      </c>
      <c r="K75" t="s">
        <v>894</v>
      </c>
      <c r="L75" t="s">
        <v>20</v>
      </c>
      <c r="M75" t="s">
        <v>84</v>
      </c>
      <c r="N75" t="str">
        <f t="shared" si="1"/>
        <v/>
      </c>
      <c r="O75" t="s">
        <v>896</v>
      </c>
    </row>
    <row r="76" spans="1:15" x14ac:dyDescent="0.35">
      <c r="A76">
        <v>5048</v>
      </c>
      <c r="B76" t="s">
        <v>102</v>
      </c>
      <c r="C76" t="str">
        <f>IFERROR(VLOOKUP(B76,Branches!A:B, 2, FALSE), B76&amp;"(NOT FOUND)")</f>
        <v>GRA Branch</v>
      </c>
      <c r="D76" s="1">
        <v>45406</v>
      </c>
      <c r="E76" t="s">
        <v>108</v>
      </c>
      <c r="F76" t="str">
        <f>IFERROR(VLOOKUP(E76, Staff!A:B, 2, FALSE), E76&amp;" (NOT FOUND)")</f>
        <v>Ronke Bakare</v>
      </c>
      <c r="G76" t="s">
        <v>35</v>
      </c>
      <c r="H76" t="s">
        <v>36</v>
      </c>
      <c r="I76">
        <v>2</v>
      </c>
      <c r="J76">
        <v>10770.99</v>
      </c>
      <c r="K76">
        <v>10</v>
      </c>
      <c r="L76" t="s">
        <v>60</v>
      </c>
      <c r="M76" t="s">
        <v>84</v>
      </c>
      <c r="N76">
        <f t="shared" si="1"/>
        <v>19387.781999999999</v>
      </c>
      <c r="O76" t="s">
        <v>896</v>
      </c>
    </row>
    <row r="77" spans="1:15" x14ac:dyDescent="0.35">
      <c r="A77">
        <v>5443</v>
      </c>
      <c r="B77" t="s">
        <v>102</v>
      </c>
      <c r="C77" t="str">
        <f>IFERROR(VLOOKUP(B77,Branches!A:B, 2, FALSE), B77&amp;"(NOT FOUND)")</f>
        <v>GRA Branch</v>
      </c>
      <c r="D77" s="1">
        <v>45431</v>
      </c>
      <c r="E77" t="s">
        <v>25</v>
      </c>
      <c r="F77" t="str">
        <f>IFERROR(VLOOKUP(E77, Staff!A:B, 2, FALSE), E77&amp;" (NOT FOUND)")</f>
        <v>Tobi Adewale</v>
      </c>
      <c r="G77" t="s">
        <v>26</v>
      </c>
      <c r="H77" t="s">
        <v>46</v>
      </c>
      <c r="I77">
        <v>5</v>
      </c>
      <c r="J77">
        <v>13720.04</v>
      </c>
      <c r="K77" t="s">
        <v>894</v>
      </c>
      <c r="L77" t="s">
        <v>47</v>
      </c>
      <c r="M77" t="s">
        <v>38</v>
      </c>
      <c r="N77">
        <f t="shared" si="1"/>
        <v>68600.200000000012</v>
      </c>
      <c r="O77" t="s">
        <v>895</v>
      </c>
    </row>
    <row r="78" spans="1:15" x14ac:dyDescent="0.35">
      <c r="A78">
        <v>5303</v>
      </c>
      <c r="B78" t="s">
        <v>129</v>
      </c>
      <c r="C78" t="str">
        <f>IFERROR(VLOOKUP(B78,Branches!A:B, 2, FALSE), B78&amp;"(NOT FOUND)")</f>
        <v>Sabon Gari Branch</v>
      </c>
      <c r="D78" s="1">
        <v>45513</v>
      </c>
      <c r="E78" t="s">
        <v>57</v>
      </c>
      <c r="F78" t="str">
        <f>IFERROR(VLOOKUP(E78, Staff!A:B, 2, FALSE), E78&amp;" (NOT FOUND)")</f>
        <v>Kelechi Umeh</v>
      </c>
      <c r="G78" t="s">
        <v>16</v>
      </c>
      <c r="H78" t="s">
        <v>109</v>
      </c>
      <c r="I78">
        <v>5</v>
      </c>
      <c r="J78">
        <v>35604.67</v>
      </c>
      <c r="K78" t="s">
        <v>894</v>
      </c>
      <c r="L78" t="s">
        <v>20</v>
      </c>
      <c r="M78" t="s">
        <v>38</v>
      </c>
      <c r="N78">
        <f t="shared" si="1"/>
        <v>178023.34999999998</v>
      </c>
      <c r="O78" t="s">
        <v>895</v>
      </c>
    </row>
    <row r="79" spans="1:15" x14ac:dyDescent="0.35">
      <c r="A79">
        <v>5494</v>
      </c>
      <c r="B79" t="s">
        <v>88</v>
      </c>
      <c r="C79" t="str">
        <f>IFERROR(VLOOKUP(B79,Branches!A:B, 2, FALSE), B79&amp;"(NOT FOUND)")</f>
        <v>Lekki Branch</v>
      </c>
      <c r="D79" s="1">
        <v>45339</v>
      </c>
      <c r="E79" t="s">
        <v>15</v>
      </c>
      <c r="F79" t="str">
        <f>IFERROR(VLOOKUP(E79, Staff!A:B, 2, FALSE), E79&amp;" (NOT FOUND)")</f>
        <v>Ibrahim Sani</v>
      </c>
      <c r="G79" t="s">
        <v>16</v>
      </c>
      <c r="H79" t="s">
        <v>170</v>
      </c>
      <c r="I79">
        <v>2</v>
      </c>
      <c r="J79" t="s">
        <v>894</v>
      </c>
      <c r="K79" t="s">
        <v>894</v>
      </c>
      <c r="L79" t="s">
        <v>60</v>
      </c>
      <c r="M79" t="s">
        <v>84</v>
      </c>
      <c r="N79" t="str">
        <f t="shared" si="1"/>
        <v/>
      </c>
      <c r="O79" t="s">
        <v>895</v>
      </c>
    </row>
    <row r="80" spans="1:15" x14ac:dyDescent="0.35">
      <c r="A80">
        <v>5057</v>
      </c>
      <c r="B80" t="s">
        <v>102</v>
      </c>
      <c r="C80" t="str">
        <f>IFERROR(VLOOKUP(B80,Branches!A:B, 2, FALSE), B80&amp;"(NOT FOUND)")</f>
        <v>GRA Branch</v>
      </c>
      <c r="D80" s="1">
        <v>45410</v>
      </c>
      <c r="E80" t="s">
        <v>51</v>
      </c>
      <c r="F80" t="str">
        <f>IFERROR(VLOOKUP(E80, Staff!A:B, 2, FALSE), E80&amp;" (NOT FOUND)")</f>
        <v>Halima Yusuf</v>
      </c>
      <c r="G80" t="s">
        <v>35</v>
      </c>
      <c r="H80" t="s">
        <v>58</v>
      </c>
      <c r="I80">
        <v>5</v>
      </c>
      <c r="J80" t="s">
        <v>894</v>
      </c>
      <c r="K80">
        <v>0</v>
      </c>
      <c r="L80" t="s">
        <v>47</v>
      </c>
      <c r="M80" t="s">
        <v>84</v>
      </c>
      <c r="N80" t="str">
        <f t="shared" si="1"/>
        <v/>
      </c>
      <c r="O80" t="s">
        <v>896</v>
      </c>
    </row>
    <row r="81" spans="1:15" x14ac:dyDescent="0.35">
      <c r="A81">
        <v>5070</v>
      </c>
      <c r="B81" t="s">
        <v>88</v>
      </c>
      <c r="C81" t="str">
        <f>IFERROR(VLOOKUP(B81,Branches!A:B, 2, FALSE), B81&amp;"(NOT FOUND)")</f>
        <v>Lekki Branch</v>
      </c>
      <c r="D81" s="1">
        <v>45366</v>
      </c>
      <c r="E81" t="s">
        <v>108</v>
      </c>
      <c r="F81" t="str">
        <f>IFERROR(VLOOKUP(E81, Staff!A:B, 2, FALSE), E81&amp;" (NOT FOUND)")</f>
        <v>Ronke Bakare</v>
      </c>
      <c r="G81" t="s">
        <v>16</v>
      </c>
      <c r="H81" t="s">
        <v>42</v>
      </c>
      <c r="J81">
        <v>38618.67</v>
      </c>
      <c r="K81">
        <v>0</v>
      </c>
      <c r="L81" t="s">
        <v>60</v>
      </c>
      <c r="M81" t="s">
        <v>38</v>
      </c>
      <c r="N81" t="str">
        <f t="shared" si="1"/>
        <v/>
      </c>
      <c r="O81" t="s">
        <v>896</v>
      </c>
    </row>
    <row r="82" spans="1:15" x14ac:dyDescent="0.35">
      <c r="A82">
        <v>5078</v>
      </c>
      <c r="B82" t="s">
        <v>32</v>
      </c>
      <c r="C82" t="str">
        <f>IFERROR(VLOOKUP(B82,Branches!A:B, 2, FALSE), B82&amp;"(NOT FOUND)")</f>
        <v>Wuse Branch</v>
      </c>
      <c r="D82" s="1">
        <v>45305</v>
      </c>
      <c r="E82" t="s">
        <v>15</v>
      </c>
      <c r="F82" t="str">
        <f>IFERROR(VLOOKUP(E82, Staff!A:B, 2, FALSE), E82&amp;" (NOT FOUND)")</f>
        <v>Ibrahim Sani</v>
      </c>
      <c r="G82" t="s">
        <v>35</v>
      </c>
      <c r="H82" t="s">
        <v>99</v>
      </c>
      <c r="I82">
        <v>2</v>
      </c>
      <c r="J82" t="s">
        <v>894</v>
      </c>
      <c r="K82">
        <v>15</v>
      </c>
      <c r="L82" t="s">
        <v>20</v>
      </c>
      <c r="M82" t="s">
        <v>84</v>
      </c>
      <c r="N82" t="str">
        <f t="shared" si="1"/>
        <v/>
      </c>
      <c r="O82" t="s">
        <v>896</v>
      </c>
    </row>
    <row r="83" spans="1:15" x14ac:dyDescent="0.35">
      <c r="A83">
        <v>5106</v>
      </c>
      <c r="B83" t="s">
        <v>32</v>
      </c>
      <c r="C83" t="str">
        <f>IFERROR(VLOOKUP(B83,Branches!A:B, 2, FALSE), B83&amp;"(NOT FOUND)")</f>
        <v>Wuse Branch</v>
      </c>
      <c r="D83" s="1">
        <v>45403</v>
      </c>
      <c r="E83" t="s">
        <v>25</v>
      </c>
      <c r="F83" t="str">
        <f>IFERROR(VLOOKUP(E83, Staff!A:B, 2, FALSE), E83&amp;" (NOT FOUND)")</f>
        <v>Tobi Adewale</v>
      </c>
      <c r="G83" t="s">
        <v>16</v>
      </c>
      <c r="H83" t="s">
        <v>17</v>
      </c>
      <c r="I83">
        <v>2</v>
      </c>
      <c r="J83">
        <v>28396.83</v>
      </c>
      <c r="K83" t="s">
        <v>894</v>
      </c>
      <c r="L83" t="s">
        <v>20</v>
      </c>
      <c r="M83" t="s">
        <v>84</v>
      </c>
      <c r="N83">
        <f t="shared" si="1"/>
        <v>56793.66</v>
      </c>
      <c r="O83" t="s">
        <v>896</v>
      </c>
    </row>
    <row r="84" spans="1:15" x14ac:dyDescent="0.35">
      <c r="A84">
        <v>5437</v>
      </c>
      <c r="B84" t="s">
        <v>88</v>
      </c>
      <c r="C84" t="str">
        <f>IFERROR(VLOOKUP(B84,Branches!A:B, 2, FALSE), B84&amp;"(NOT FOUND)")</f>
        <v>Lekki Branch</v>
      </c>
      <c r="D84" s="1">
        <v>45309</v>
      </c>
      <c r="E84" t="s">
        <v>51</v>
      </c>
      <c r="F84" t="str">
        <f>IFERROR(VLOOKUP(E84, Staff!A:B, 2, FALSE), E84&amp;" (NOT FOUND)")</f>
        <v>Halima Yusuf</v>
      </c>
      <c r="G84" t="s">
        <v>64</v>
      </c>
      <c r="H84" t="s">
        <v>133</v>
      </c>
      <c r="I84">
        <v>5</v>
      </c>
      <c r="J84">
        <v>1342.23</v>
      </c>
      <c r="K84" t="s">
        <v>894</v>
      </c>
      <c r="L84" t="s">
        <v>20</v>
      </c>
      <c r="M84" t="s">
        <v>38</v>
      </c>
      <c r="N84">
        <f t="shared" si="1"/>
        <v>6711.15</v>
      </c>
      <c r="O84" t="s">
        <v>894</v>
      </c>
    </row>
    <row r="85" spans="1:15" x14ac:dyDescent="0.35">
      <c r="A85">
        <v>5442</v>
      </c>
      <c r="B85" t="s">
        <v>88</v>
      </c>
      <c r="C85" t="str">
        <f>IFERROR(VLOOKUP(B85,Branches!A:B, 2, FALSE), B85&amp;"(NOT FOUND)")</f>
        <v>Lekki Branch</v>
      </c>
      <c r="D85" s="1">
        <v>45466</v>
      </c>
      <c r="E85" t="s">
        <v>51</v>
      </c>
      <c r="F85" t="str">
        <f>IFERROR(VLOOKUP(E85, Staff!A:B, 2, FALSE), E85&amp;" (NOT FOUND)")</f>
        <v>Halima Yusuf</v>
      </c>
      <c r="G85" t="s">
        <v>64</v>
      </c>
      <c r="H85" t="s">
        <v>116</v>
      </c>
      <c r="J85">
        <v>26565.69</v>
      </c>
      <c r="K85">
        <v>15</v>
      </c>
      <c r="L85" t="s">
        <v>20</v>
      </c>
      <c r="M85" t="s">
        <v>84</v>
      </c>
      <c r="N85" t="str">
        <f t="shared" si="1"/>
        <v/>
      </c>
      <c r="O85" t="s">
        <v>894</v>
      </c>
    </row>
    <row r="86" spans="1:15" x14ac:dyDescent="0.35">
      <c r="A86">
        <v>5341</v>
      </c>
      <c r="B86" t="s">
        <v>88</v>
      </c>
      <c r="C86" t="str">
        <f>IFERROR(VLOOKUP(B86,Branches!A:B, 2, FALSE), B86&amp;"(NOT FOUND)")</f>
        <v>Lekki Branch</v>
      </c>
      <c r="D86" s="1">
        <v>45479</v>
      </c>
      <c r="E86" t="s">
        <v>76</v>
      </c>
      <c r="F86" t="str">
        <f>IFERROR(VLOOKUP(E86, Staff!A:B, 2, FALSE), E86&amp;" (NOT FOUND)")</f>
        <v>Chika Nwankwo</v>
      </c>
      <c r="G86" t="s">
        <v>16</v>
      </c>
      <c r="H86" t="s">
        <v>170</v>
      </c>
      <c r="I86">
        <v>2</v>
      </c>
      <c r="J86">
        <v>2892.21</v>
      </c>
      <c r="K86">
        <v>0</v>
      </c>
      <c r="L86" t="s">
        <v>20</v>
      </c>
      <c r="M86" t="s">
        <v>84</v>
      </c>
      <c r="N86">
        <f t="shared" si="1"/>
        <v>5784.42</v>
      </c>
      <c r="O86" t="s">
        <v>894</v>
      </c>
    </row>
    <row r="87" spans="1:15" x14ac:dyDescent="0.35">
      <c r="A87">
        <v>5413</v>
      </c>
      <c r="B87" t="s">
        <v>88</v>
      </c>
      <c r="C87" t="str">
        <f>IFERROR(VLOOKUP(B87,Branches!A:B, 2, FALSE), B87&amp;"(NOT FOUND)")</f>
        <v>Lekki Branch</v>
      </c>
      <c r="D87" s="1">
        <v>45538</v>
      </c>
      <c r="E87" t="s">
        <v>34</v>
      </c>
      <c r="F87" t="str">
        <f>IFERROR(VLOOKUP(E87, Staff!A:B, 2, FALSE), E87&amp;" (NOT FOUND)")</f>
        <v>Funke Ajayi</v>
      </c>
      <c r="G87" t="s">
        <v>64</v>
      </c>
      <c r="H87" t="s">
        <v>77</v>
      </c>
      <c r="I87">
        <v>3</v>
      </c>
      <c r="J87" t="s">
        <v>894</v>
      </c>
      <c r="K87" t="s">
        <v>894</v>
      </c>
      <c r="L87" t="s">
        <v>47</v>
      </c>
      <c r="M87" t="s">
        <v>84</v>
      </c>
      <c r="N87" t="str">
        <f t="shared" si="1"/>
        <v/>
      </c>
      <c r="O87" t="s">
        <v>894</v>
      </c>
    </row>
    <row r="88" spans="1:15" x14ac:dyDescent="0.35">
      <c r="A88">
        <v>5147</v>
      </c>
      <c r="B88" t="s">
        <v>102</v>
      </c>
      <c r="C88" t="str">
        <f>IFERROR(VLOOKUP(B88,Branches!A:B, 2, FALSE), B88&amp;"(NOT FOUND)")</f>
        <v>GRA Branch</v>
      </c>
      <c r="D88" s="1">
        <v>45314</v>
      </c>
      <c r="E88" t="s">
        <v>34</v>
      </c>
      <c r="F88" t="str">
        <f>IFERROR(VLOOKUP(E88, Staff!A:B, 2, FALSE), E88&amp;" (NOT FOUND)")</f>
        <v>Funke Ajayi</v>
      </c>
      <c r="G88" t="s">
        <v>16</v>
      </c>
      <c r="H88" t="s">
        <v>82</v>
      </c>
      <c r="I88">
        <v>2</v>
      </c>
      <c r="J88">
        <v>20517.810000000001</v>
      </c>
      <c r="K88">
        <v>5</v>
      </c>
      <c r="L88" t="s">
        <v>60</v>
      </c>
      <c r="M88" t="s">
        <v>84</v>
      </c>
      <c r="N88">
        <f t="shared" si="1"/>
        <v>38983.839</v>
      </c>
      <c r="O88" t="s">
        <v>894</v>
      </c>
    </row>
    <row r="89" spans="1:15" x14ac:dyDescent="0.35">
      <c r="A89">
        <v>5480</v>
      </c>
      <c r="B89" t="s">
        <v>102</v>
      </c>
      <c r="C89" t="str">
        <f>IFERROR(VLOOKUP(B89,Branches!A:B, 2, FALSE), B89&amp;"(NOT FOUND)")</f>
        <v>GRA Branch</v>
      </c>
      <c r="D89" s="1">
        <v>45351</v>
      </c>
      <c r="E89" t="s">
        <v>25</v>
      </c>
      <c r="F89" t="str">
        <f>IFERROR(VLOOKUP(E89, Staff!A:B, 2, FALSE), E89&amp;" (NOT FOUND)")</f>
        <v>Tobi Adewale</v>
      </c>
      <c r="G89" t="s">
        <v>35</v>
      </c>
      <c r="H89" t="s">
        <v>99</v>
      </c>
      <c r="I89">
        <v>2</v>
      </c>
      <c r="J89" t="s">
        <v>894</v>
      </c>
      <c r="K89">
        <v>0</v>
      </c>
      <c r="L89" t="s">
        <v>47</v>
      </c>
      <c r="M89" t="s">
        <v>38</v>
      </c>
      <c r="N89" t="str">
        <f t="shared" si="1"/>
        <v/>
      </c>
      <c r="O89" t="s">
        <v>895</v>
      </c>
    </row>
    <row r="90" spans="1:15" x14ac:dyDescent="0.35">
      <c r="A90">
        <v>5500</v>
      </c>
      <c r="B90" t="s">
        <v>129</v>
      </c>
      <c r="C90" t="str">
        <f>IFERROR(VLOOKUP(B90,Branches!A:B, 2, FALSE), B90&amp;"(NOT FOUND)")</f>
        <v>Sabon Gari Branch</v>
      </c>
      <c r="D90" s="1">
        <v>45445</v>
      </c>
      <c r="E90" t="s">
        <v>15</v>
      </c>
      <c r="F90" t="str">
        <f>IFERROR(VLOOKUP(E90, Staff!A:B, 2, FALSE), E90&amp;" (NOT FOUND)")</f>
        <v>Ibrahim Sani</v>
      </c>
      <c r="G90" t="s">
        <v>64</v>
      </c>
      <c r="H90" t="s">
        <v>65</v>
      </c>
      <c r="J90">
        <v>42248.05</v>
      </c>
      <c r="K90" t="s">
        <v>894</v>
      </c>
      <c r="L90" t="s">
        <v>20</v>
      </c>
      <c r="M90" t="s">
        <v>38</v>
      </c>
      <c r="N90" t="str">
        <f t="shared" si="1"/>
        <v/>
      </c>
      <c r="O90" t="s">
        <v>894</v>
      </c>
    </row>
    <row r="91" spans="1:15" x14ac:dyDescent="0.35">
      <c r="A91">
        <v>5096</v>
      </c>
      <c r="B91" t="s">
        <v>102</v>
      </c>
      <c r="C91" t="str">
        <f>IFERROR(VLOOKUP(B91,Branches!A:B, 2, FALSE), B91&amp;"(NOT FOUND)")</f>
        <v>GRA Branch</v>
      </c>
      <c r="D91" s="1">
        <v>45343</v>
      </c>
      <c r="E91" t="s">
        <v>15</v>
      </c>
      <c r="F91" t="str">
        <f>IFERROR(VLOOKUP(E91, Staff!A:B, 2, FALSE), E91&amp;" (NOT FOUND)")</f>
        <v>Ibrahim Sani</v>
      </c>
      <c r="G91" t="s">
        <v>35</v>
      </c>
      <c r="H91" t="s">
        <v>136</v>
      </c>
      <c r="J91">
        <v>26419.26</v>
      </c>
      <c r="K91">
        <v>10</v>
      </c>
      <c r="L91" t="s">
        <v>47</v>
      </c>
      <c r="M91" t="s">
        <v>38</v>
      </c>
      <c r="N91" t="str">
        <f t="shared" si="1"/>
        <v/>
      </c>
      <c r="O91" t="s">
        <v>896</v>
      </c>
    </row>
    <row r="92" spans="1:15" x14ac:dyDescent="0.35">
      <c r="A92">
        <v>5279</v>
      </c>
      <c r="B92" t="s">
        <v>88</v>
      </c>
      <c r="C92" t="str">
        <f>IFERROR(VLOOKUP(B92,Branches!A:B, 2, FALSE), B92&amp;"(NOT FOUND)")</f>
        <v>Lekki Branch</v>
      </c>
      <c r="D92" s="1">
        <v>45520</v>
      </c>
      <c r="E92" t="s">
        <v>25</v>
      </c>
      <c r="F92" t="str">
        <f>IFERROR(VLOOKUP(E92, Staff!A:B, 2, FALSE), E92&amp;" (NOT FOUND)")</f>
        <v>Tobi Adewale</v>
      </c>
      <c r="G92" t="s">
        <v>64</v>
      </c>
      <c r="H92" t="s">
        <v>65</v>
      </c>
      <c r="I92">
        <v>4</v>
      </c>
      <c r="J92">
        <v>3763.73</v>
      </c>
      <c r="K92" t="s">
        <v>894</v>
      </c>
      <c r="L92" t="s">
        <v>20</v>
      </c>
      <c r="M92" t="s">
        <v>84</v>
      </c>
      <c r="N92">
        <f t="shared" si="1"/>
        <v>15054.92</v>
      </c>
      <c r="O92" t="s">
        <v>896</v>
      </c>
    </row>
    <row r="93" spans="1:15" x14ac:dyDescent="0.35">
      <c r="A93">
        <v>5093</v>
      </c>
      <c r="B93" t="s">
        <v>129</v>
      </c>
      <c r="C93" t="str">
        <f>IFERROR(VLOOKUP(B93,Branches!A:B, 2, FALSE), B93&amp;"(NOT FOUND)")</f>
        <v>Sabon Gari Branch</v>
      </c>
      <c r="D93" s="1">
        <v>45492</v>
      </c>
      <c r="E93" t="s">
        <v>25</v>
      </c>
      <c r="F93" t="str">
        <f>IFERROR(VLOOKUP(E93, Staff!A:B, 2, FALSE), E93&amp;" (NOT FOUND)")</f>
        <v>Tobi Adewale</v>
      </c>
      <c r="G93" t="s">
        <v>26</v>
      </c>
      <c r="H93" t="s">
        <v>27</v>
      </c>
      <c r="J93">
        <v>16169.56</v>
      </c>
      <c r="K93">
        <v>0</v>
      </c>
      <c r="L93" t="s">
        <v>60</v>
      </c>
      <c r="M93" t="s">
        <v>84</v>
      </c>
      <c r="N93" t="str">
        <f t="shared" si="1"/>
        <v/>
      </c>
      <c r="O93" t="s">
        <v>896</v>
      </c>
    </row>
    <row r="94" spans="1:15" x14ac:dyDescent="0.35">
      <c r="A94">
        <v>5030</v>
      </c>
      <c r="B94" t="s">
        <v>32</v>
      </c>
      <c r="C94" t="str">
        <f>IFERROR(VLOOKUP(B94,Branches!A:B, 2, FALSE), B94&amp;"(NOT FOUND)")</f>
        <v>Wuse Branch</v>
      </c>
      <c r="D94" s="1">
        <v>45411</v>
      </c>
      <c r="E94" t="s">
        <v>76</v>
      </c>
      <c r="F94" t="str">
        <f>IFERROR(VLOOKUP(E94, Staff!A:B, 2, FALSE), E94&amp;" (NOT FOUND)")</f>
        <v>Chika Nwankwo</v>
      </c>
      <c r="G94" t="s">
        <v>16</v>
      </c>
      <c r="H94" t="s">
        <v>42</v>
      </c>
      <c r="I94">
        <v>2</v>
      </c>
      <c r="J94" t="s">
        <v>894</v>
      </c>
      <c r="K94">
        <v>10</v>
      </c>
      <c r="L94" t="s">
        <v>47</v>
      </c>
      <c r="M94" t="s">
        <v>38</v>
      </c>
      <c r="N94" t="str">
        <f t="shared" si="1"/>
        <v/>
      </c>
      <c r="O94" t="s">
        <v>895</v>
      </c>
    </row>
    <row r="95" spans="1:15" x14ac:dyDescent="0.35">
      <c r="A95">
        <v>5436</v>
      </c>
      <c r="B95" t="s">
        <v>129</v>
      </c>
      <c r="C95" t="str">
        <f>IFERROR(VLOOKUP(B95,Branches!A:B, 2, FALSE), B95&amp;"(NOT FOUND)")</f>
        <v>Sabon Gari Branch</v>
      </c>
      <c r="D95" s="1">
        <v>45403</v>
      </c>
      <c r="E95" t="s">
        <v>51</v>
      </c>
      <c r="F95" t="str">
        <f>IFERROR(VLOOKUP(E95, Staff!A:B, 2, FALSE), E95&amp;" (NOT FOUND)")</f>
        <v>Halima Yusuf</v>
      </c>
      <c r="G95" t="s">
        <v>16</v>
      </c>
      <c r="H95" t="s">
        <v>82</v>
      </c>
      <c r="J95">
        <v>18697.12</v>
      </c>
      <c r="K95" t="s">
        <v>894</v>
      </c>
      <c r="L95" t="s">
        <v>47</v>
      </c>
      <c r="M95" t="s">
        <v>84</v>
      </c>
      <c r="N95" t="str">
        <f t="shared" si="1"/>
        <v/>
      </c>
      <c r="O95" t="s">
        <v>895</v>
      </c>
    </row>
    <row r="96" spans="1:15" x14ac:dyDescent="0.35">
      <c r="A96">
        <v>5432</v>
      </c>
      <c r="B96" t="s">
        <v>74</v>
      </c>
      <c r="C96" t="str">
        <f>IFERROR(VLOOKUP(B96,Branches!A:B, 2, FALSE), B96&amp;"(NOT FOUND)")</f>
        <v>Bodija Branch</v>
      </c>
      <c r="D96" s="1">
        <v>45507</v>
      </c>
      <c r="E96" t="s">
        <v>76</v>
      </c>
      <c r="F96" t="str">
        <f>IFERROR(VLOOKUP(E96, Staff!A:B, 2, FALSE), E96&amp;" (NOT FOUND)")</f>
        <v>Chika Nwankwo</v>
      </c>
      <c r="G96" t="s">
        <v>64</v>
      </c>
      <c r="H96" t="s">
        <v>116</v>
      </c>
      <c r="J96">
        <v>26200.63</v>
      </c>
      <c r="K96">
        <v>5</v>
      </c>
      <c r="L96" t="s">
        <v>47</v>
      </c>
      <c r="M96" t="s">
        <v>84</v>
      </c>
      <c r="N96" t="str">
        <f t="shared" si="1"/>
        <v/>
      </c>
      <c r="O96" t="s">
        <v>895</v>
      </c>
    </row>
    <row r="97" spans="1:15" x14ac:dyDescent="0.35">
      <c r="A97">
        <v>5098</v>
      </c>
      <c r="B97" t="s">
        <v>32</v>
      </c>
      <c r="C97" t="str">
        <f>IFERROR(VLOOKUP(B97,Branches!A:B, 2, FALSE), B97&amp;"(NOT FOUND)")</f>
        <v>Wuse Branch</v>
      </c>
      <c r="D97" s="1">
        <v>45365</v>
      </c>
      <c r="E97" t="s">
        <v>108</v>
      </c>
      <c r="F97" t="str">
        <f>IFERROR(VLOOKUP(E97, Staff!A:B, 2, FALSE), E97&amp;" (NOT FOUND)")</f>
        <v>Ronke Bakare</v>
      </c>
      <c r="G97" t="s">
        <v>16</v>
      </c>
      <c r="H97" t="s">
        <v>82</v>
      </c>
      <c r="I97">
        <v>4</v>
      </c>
      <c r="J97" t="s">
        <v>894</v>
      </c>
      <c r="K97" t="s">
        <v>894</v>
      </c>
      <c r="L97" t="s">
        <v>20</v>
      </c>
      <c r="M97" t="s">
        <v>84</v>
      </c>
      <c r="N97" t="str">
        <f t="shared" si="1"/>
        <v/>
      </c>
      <c r="O97" t="s">
        <v>895</v>
      </c>
    </row>
    <row r="98" spans="1:15" x14ac:dyDescent="0.35">
      <c r="A98">
        <v>5146</v>
      </c>
      <c r="B98" t="s">
        <v>32</v>
      </c>
      <c r="C98" t="str">
        <f>IFERROR(VLOOKUP(B98,Branches!A:B, 2, FALSE), B98&amp;"(NOT FOUND)")</f>
        <v>Wuse Branch</v>
      </c>
      <c r="D98" s="1">
        <v>45457</v>
      </c>
      <c r="E98" t="s">
        <v>25</v>
      </c>
      <c r="F98" t="str">
        <f>IFERROR(VLOOKUP(E98, Staff!A:B, 2, FALSE), E98&amp;" (NOT FOUND)")</f>
        <v>Tobi Adewale</v>
      </c>
      <c r="G98" t="s">
        <v>16</v>
      </c>
      <c r="H98" t="s">
        <v>170</v>
      </c>
      <c r="I98">
        <v>5</v>
      </c>
      <c r="J98" t="s">
        <v>894</v>
      </c>
      <c r="K98" t="s">
        <v>894</v>
      </c>
      <c r="L98" t="s">
        <v>20</v>
      </c>
      <c r="M98" t="s">
        <v>84</v>
      </c>
      <c r="N98" t="str">
        <f t="shared" si="1"/>
        <v/>
      </c>
      <c r="O98" t="s">
        <v>896</v>
      </c>
    </row>
    <row r="99" spans="1:15" x14ac:dyDescent="0.35">
      <c r="A99">
        <v>5411</v>
      </c>
      <c r="B99" t="s">
        <v>74</v>
      </c>
      <c r="C99" t="str">
        <f>IFERROR(VLOOKUP(B99,Branches!A:B, 2, FALSE), B99&amp;"(NOT FOUND)")</f>
        <v>Bodija Branch</v>
      </c>
      <c r="D99" s="1">
        <v>45331</v>
      </c>
      <c r="E99" t="s">
        <v>76</v>
      </c>
      <c r="F99" t="str">
        <f>IFERROR(VLOOKUP(E99, Staff!A:B, 2, FALSE), E99&amp;" (NOT FOUND)")</f>
        <v>Chika Nwankwo</v>
      </c>
      <c r="G99" t="s">
        <v>35</v>
      </c>
      <c r="H99" t="s">
        <v>155</v>
      </c>
      <c r="I99">
        <v>1</v>
      </c>
      <c r="J99">
        <v>40070.51</v>
      </c>
      <c r="K99">
        <v>15</v>
      </c>
      <c r="L99" t="s">
        <v>20</v>
      </c>
      <c r="M99" t="s">
        <v>84</v>
      </c>
      <c r="N99">
        <f t="shared" si="1"/>
        <v>34059.933499999999</v>
      </c>
      <c r="O99" t="s">
        <v>896</v>
      </c>
    </row>
    <row r="100" spans="1:15" x14ac:dyDescent="0.35">
      <c r="A100">
        <v>5183</v>
      </c>
      <c r="B100" t="s">
        <v>32</v>
      </c>
      <c r="C100" t="str">
        <f>IFERROR(VLOOKUP(B100,Branches!A:B, 2, FALSE), B100&amp;"(NOT FOUND)")</f>
        <v>Wuse Branch</v>
      </c>
      <c r="D100" s="1">
        <v>45476</v>
      </c>
      <c r="E100" t="s">
        <v>76</v>
      </c>
      <c r="F100" t="str">
        <f>IFERROR(VLOOKUP(E100, Staff!A:B, 2, FALSE), E100&amp;" (NOT FOUND)")</f>
        <v>Chika Nwankwo</v>
      </c>
      <c r="G100" t="s">
        <v>35</v>
      </c>
      <c r="H100" t="s">
        <v>155</v>
      </c>
      <c r="I100">
        <v>2</v>
      </c>
      <c r="J100">
        <v>40231.339999999997</v>
      </c>
      <c r="K100">
        <v>5</v>
      </c>
      <c r="L100" t="s">
        <v>47</v>
      </c>
      <c r="M100" t="s">
        <v>84</v>
      </c>
      <c r="N100">
        <f t="shared" si="1"/>
        <v>76439.545999999988</v>
      </c>
      <c r="O100" t="s">
        <v>896</v>
      </c>
    </row>
    <row r="101" spans="1:15" x14ac:dyDescent="0.35">
      <c r="A101">
        <v>5447</v>
      </c>
      <c r="B101" t="s">
        <v>74</v>
      </c>
      <c r="C101" t="str">
        <f>IFERROR(VLOOKUP(B101,Branches!A:B, 2, FALSE), B101&amp;"(NOT FOUND)")</f>
        <v>Bodija Branch</v>
      </c>
      <c r="D101" s="1">
        <v>45369</v>
      </c>
      <c r="E101" t="s">
        <v>25</v>
      </c>
      <c r="F101" t="str">
        <f>IFERROR(VLOOKUP(E101, Staff!A:B, 2, FALSE), E101&amp;" (NOT FOUND)")</f>
        <v>Tobi Adewale</v>
      </c>
      <c r="G101" t="s">
        <v>64</v>
      </c>
      <c r="H101" t="s">
        <v>116</v>
      </c>
      <c r="J101">
        <v>41475.599999999999</v>
      </c>
      <c r="K101" t="s">
        <v>894</v>
      </c>
      <c r="L101" t="s">
        <v>47</v>
      </c>
      <c r="M101" t="s">
        <v>84</v>
      </c>
      <c r="N101" t="str">
        <f t="shared" si="1"/>
        <v/>
      </c>
      <c r="O101" t="s">
        <v>896</v>
      </c>
    </row>
    <row r="102" spans="1:15" x14ac:dyDescent="0.35">
      <c r="A102">
        <v>5062</v>
      </c>
      <c r="B102" t="s">
        <v>88</v>
      </c>
      <c r="C102" t="str">
        <f>IFERROR(VLOOKUP(B102,Branches!A:B, 2, FALSE), B102&amp;"(NOT FOUND)")</f>
        <v>Lekki Branch</v>
      </c>
      <c r="D102" s="1">
        <v>45495</v>
      </c>
      <c r="E102" t="s">
        <v>57</v>
      </c>
      <c r="F102" t="str">
        <f>IFERROR(VLOOKUP(E102, Staff!A:B, 2, FALSE), E102&amp;" (NOT FOUND)")</f>
        <v>Kelechi Umeh</v>
      </c>
      <c r="G102" t="s">
        <v>16</v>
      </c>
      <c r="H102" t="s">
        <v>170</v>
      </c>
      <c r="I102">
        <v>3</v>
      </c>
      <c r="J102">
        <v>21010.33</v>
      </c>
      <c r="K102">
        <v>10</v>
      </c>
      <c r="L102" t="s">
        <v>20</v>
      </c>
      <c r="M102" t="s">
        <v>38</v>
      </c>
      <c r="N102">
        <f t="shared" si="1"/>
        <v>56727.891000000003</v>
      </c>
      <c r="O102" t="s">
        <v>895</v>
      </c>
    </row>
    <row r="103" spans="1:15" x14ac:dyDescent="0.35">
      <c r="A103">
        <v>5015</v>
      </c>
      <c r="B103" t="s">
        <v>129</v>
      </c>
      <c r="C103" t="str">
        <f>IFERROR(VLOOKUP(B103,Branches!A:B, 2, FALSE), B103&amp;"(NOT FOUND)")</f>
        <v>Sabon Gari Branch</v>
      </c>
      <c r="D103" s="1">
        <v>45371</v>
      </c>
      <c r="E103" t="s">
        <v>25</v>
      </c>
      <c r="F103" t="str">
        <f>IFERROR(VLOOKUP(E103, Staff!A:B, 2, FALSE), E103&amp;" (NOT FOUND)")</f>
        <v>Tobi Adewale</v>
      </c>
      <c r="G103" t="s">
        <v>35</v>
      </c>
      <c r="H103" t="s">
        <v>58</v>
      </c>
      <c r="I103">
        <v>1</v>
      </c>
      <c r="J103">
        <v>7226.21</v>
      </c>
      <c r="K103" t="s">
        <v>894</v>
      </c>
      <c r="L103" t="s">
        <v>60</v>
      </c>
      <c r="M103" t="s">
        <v>84</v>
      </c>
      <c r="N103">
        <f t="shared" si="1"/>
        <v>7226.21</v>
      </c>
      <c r="O103" t="s">
        <v>895</v>
      </c>
    </row>
    <row r="104" spans="1:15" x14ac:dyDescent="0.35">
      <c r="A104">
        <v>5228</v>
      </c>
      <c r="B104" t="s">
        <v>74</v>
      </c>
      <c r="C104" t="str">
        <f>IFERROR(VLOOKUP(B104,Branches!A:B, 2, FALSE), B104&amp;"(NOT FOUND)")</f>
        <v>Bodija Branch</v>
      </c>
      <c r="D104" s="1">
        <v>45544</v>
      </c>
      <c r="E104" t="s">
        <v>34</v>
      </c>
      <c r="F104" t="str">
        <f>IFERROR(VLOOKUP(E104, Staff!A:B, 2, FALSE), E104&amp;" (NOT FOUND)")</f>
        <v>Funke Ajayi</v>
      </c>
      <c r="G104" t="s">
        <v>16</v>
      </c>
      <c r="H104" t="s">
        <v>170</v>
      </c>
      <c r="I104">
        <v>3</v>
      </c>
      <c r="J104">
        <v>33906.83</v>
      </c>
      <c r="K104">
        <v>5</v>
      </c>
      <c r="L104" t="s">
        <v>60</v>
      </c>
      <c r="M104" t="s">
        <v>84</v>
      </c>
      <c r="N104">
        <f t="shared" si="1"/>
        <v>96634.465500000006</v>
      </c>
      <c r="O104" t="s">
        <v>896</v>
      </c>
    </row>
    <row r="105" spans="1:15" x14ac:dyDescent="0.35">
      <c r="A105">
        <v>5458</v>
      </c>
      <c r="B105" t="s">
        <v>102</v>
      </c>
      <c r="C105" t="str">
        <f>IFERROR(VLOOKUP(B105,Branches!A:B, 2, FALSE), B105&amp;"(NOT FOUND)")</f>
        <v>GRA Branch</v>
      </c>
      <c r="D105" s="1">
        <v>45424</v>
      </c>
      <c r="E105" t="s">
        <v>76</v>
      </c>
      <c r="F105" t="str">
        <f>IFERROR(VLOOKUP(E105, Staff!A:B, 2, FALSE), E105&amp;" (NOT FOUND)")</f>
        <v>Chika Nwankwo</v>
      </c>
      <c r="G105" t="s">
        <v>16</v>
      </c>
      <c r="H105" t="s">
        <v>17</v>
      </c>
      <c r="J105">
        <v>14463.62</v>
      </c>
      <c r="K105">
        <v>10</v>
      </c>
      <c r="L105" t="s">
        <v>47</v>
      </c>
      <c r="M105" t="s">
        <v>38</v>
      </c>
      <c r="N105" t="str">
        <f t="shared" si="1"/>
        <v/>
      </c>
      <c r="O105" t="s">
        <v>895</v>
      </c>
    </row>
    <row r="106" spans="1:15" x14ac:dyDescent="0.35">
      <c r="A106">
        <v>5438</v>
      </c>
      <c r="B106" t="s">
        <v>74</v>
      </c>
      <c r="C106" t="str">
        <f>IFERROR(VLOOKUP(B106,Branches!A:B, 2, FALSE), B106&amp;"(NOT FOUND)")</f>
        <v>Bodija Branch</v>
      </c>
      <c r="D106" s="1">
        <v>45400</v>
      </c>
      <c r="E106" t="s">
        <v>34</v>
      </c>
      <c r="F106" t="str">
        <f>IFERROR(VLOOKUP(E106, Staff!A:B, 2, FALSE), E106&amp;" (NOT FOUND)")</f>
        <v>Funke Ajayi</v>
      </c>
      <c r="G106" t="s">
        <v>35</v>
      </c>
      <c r="H106" t="s">
        <v>136</v>
      </c>
      <c r="I106">
        <v>5</v>
      </c>
      <c r="J106">
        <v>30930.46</v>
      </c>
      <c r="K106">
        <v>0</v>
      </c>
      <c r="L106" t="s">
        <v>47</v>
      </c>
      <c r="M106" t="s">
        <v>84</v>
      </c>
      <c r="N106">
        <f t="shared" si="1"/>
        <v>154652.29999999999</v>
      </c>
      <c r="O106" t="s">
        <v>895</v>
      </c>
    </row>
    <row r="107" spans="1:15" x14ac:dyDescent="0.35">
      <c r="A107">
        <v>5462</v>
      </c>
      <c r="B107" t="s">
        <v>129</v>
      </c>
      <c r="C107" t="str">
        <f>IFERROR(VLOOKUP(B107,Branches!A:B, 2, FALSE), B107&amp;"(NOT FOUND)")</f>
        <v>Sabon Gari Branch</v>
      </c>
      <c r="D107" s="1">
        <v>45381</v>
      </c>
      <c r="E107" t="s">
        <v>57</v>
      </c>
      <c r="F107" t="str">
        <f>IFERROR(VLOOKUP(E107, Staff!A:B, 2, FALSE), E107&amp;" (NOT FOUND)")</f>
        <v>Kelechi Umeh</v>
      </c>
      <c r="G107" t="s">
        <v>64</v>
      </c>
      <c r="H107" t="s">
        <v>77</v>
      </c>
      <c r="J107">
        <v>4611.1000000000004</v>
      </c>
      <c r="K107">
        <v>5</v>
      </c>
      <c r="L107" t="s">
        <v>47</v>
      </c>
      <c r="M107" t="s">
        <v>84</v>
      </c>
      <c r="N107" t="str">
        <f t="shared" si="1"/>
        <v/>
      </c>
      <c r="O107" t="s">
        <v>894</v>
      </c>
    </row>
    <row r="108" spans="1:15" x14ac:dyDescent="0.35">
      <c r="A108">
        <v>5311</v>
      </c>
      <c r="B108" t="s">
        <v>129</v>
      </c>
      <c r="C108" t="str">
        <f>IFERROR(VLOOKUP(B108,Branches!A:B, 2, FALSE), B108&amp;"(NOT FOUND)")</f>
        <v>Sabon Gari Branch</v>
      </c>
      <c r="D108" s="1">
        <v>45294</v>
      </c>
      <c r="E108" t="s">
        <v>76</v>
      </c>
      <c r="F108" t="str">
        <f>IFERROR(VLOOKUP(E108, Staff!A:B, 2, FALSE), E108&amp;" (NOT FOUND)")</f>
        <v>Chika Nwankwo</v>
      </c>
      <c r="G108" t="s">
        <v>16</v>
      </c>
      <c r="H108" t="s">
        <v>17</v>
      </c>
      <c r="J108" t="s">
        <v>894</v>
      </c>
      <c r="K108" t="s">
        <v>894</v>
      </c>
      <c r="L108" t="s">
        <v>47</v>
      </c>
      <c r="M108" t="s">
        <v>38</v>
      </c>
      <c r="N108" t="str">
        <f t="shared" si="1"/>
        <v/>
      </c>
      <c r="O108" t="s">
        <v>896</v>
      </c>
    </row>
    <row r="109" spans="1:15" x14ac:dyDescent="0.35">
      <c r="A109">
        <v>5079</v>
      </c>
      <c r="B109" t="s">
        <v>32</v>
      </c>
      <c r="C109" t="str">
        <f>IFERROR(VLOOKUP(B109,Branches!A:B, 2, FALSE), B109&amp;"(NOT FOUND)")</f>
        <v>Wuse Branch</v>
      </c>
      <c r="D109" s="1">
        <v>45468</v>
      </c>
      <c r="E109" t="s">
        <v>86</v>
      </c>
      <c r="F109" t="str">
        <f>IFERROR(VLOOKUP(E109, Staff!A:B, 2, FALSE), E109&amp;" (NOT FOUND)")</f>
        <v>Ekene Obi</v>
      </c>
      <c r="G109" t="s">
        <v>26</v>
      </c>
      <c r="H109" t="s">
        <v>112</v>
      </c>
      <c r="I109">
        <v>5</v>
      </c>
      <c r="J109">
        <v>41030.14</v>
      </c>
      <c r="K109">
        <v>10</v>
      </c>
      <c r="L109" t="s">
        <v>20</v>
      </c>
      <c r="M109" t="s">
        <v>84</v>
      </c>
      <c r="N109">
        <f t="shared" si="1"/>
        <v>184635.63</v>
      </c>
      <c r="O109" t="s">
        <v>896</v>
      </c>
    </row>
    <row r="110" spans="1:15" x14ac:dyDescent="0.35">
      <c r="A110">
        <v>5485</v>
      </c>
      <c r="B110" t="s">
        <v>129</v>
      </c>
      <c r="C110" t="str">
        <f>IFERROR(VLOOKUP(B110,Branches!A:B, 2, FALSE), B110&amp;"(NOT FOUND)")</f>
        <v>Sabon Gari Branch</v>
      </c>
      <c r="D110" s="1">
        <v>45336</v>
      </c>
      <c r="E110" t="s">
        <v>51</v>
      </c>
      <c r="F110" t="str">
        <f>IFERROR(VLOOKUP(E110, Staff!A:B, 2, FALSE), E110&amp;" (NOT FOUND)")</f>
        <v>Halima Yusuf</v>
      </c>
      <c r="G110" t="s">
        <v>26</v>
      </c>
      <c r="H110" t="s">
        <v>27</v>
      </c>
      <c r="I110">
        <v>4</v>
      </c>
      <c r="J110" t="s">
        <v>894</v>
      </c>
      <c r="K110" t="s">
        <v>894</v>
      </c>
      <c r="L110" t="s">
        <v>20</v>
      </c>
      <c r="M110" t="s">
        <v>84</v>
      </c>
      <c r="N110" t="str">
        <f t="shared" si="1"/>
        <v/>
      </c>
      <c r="O110" t="s">
        <v>896</v>
      </c>
    </row>
    <row r="111" spans="1:15" x14ac:dyDescent="0.35">
      <c r="A111">
        <v>5334</v>
      </c>
      <c r="B111" t="s">
        <v>32</v>
      </c>
      <c r="C111" t="str">
        <f>IFERROR(VLOOKUP(B111,Branches!A:B, 2, FALSE), B111&amp;"(NOT FOUND)")</f>
        <v>Wuse Branch</v>
      </c>
      <c r="D111" s="1">
        <v>45299</v>
      </c>
      <c r="E111" t="s">
        <v>51</v>
      </c>
      <c r="F111" t="str">
        <f>IFERROR(VLOOKUP(E111, Staff!A:B, 2, FALSE), E111&amp;" (NOT FOUND)")</f>
        <v>Halima Yusuf</v>
      </c>
      <c r="G111" t="s">
        <v>16</v>
      </c>
      <c r="H111" t="s">
        <v>82</v>
      </c>
      <c r="I111">
        <v>1</v>
      </c>
      <c r="J111">
        <v>7621.58</v>
      </c>
      <c r="K111" t="s">
        <v>894</v>
      </c>
      <c r="L111" t="s">
        <v>60</v>
      </c>
      <c r="M111" t="s">
        <v>84</v>
      </c>
      <c r="N111">
        <f t="shared" si="1"/>
        <v>7621.58</v>
      </c>
      <c r="O111" t="s">
        <v>895</v>
      </c>
    </row>
    <row r="112" spans="1:15" x14ac:dyDescent="0.35">
      <c r="A112">
        <v>5243</v>
      </c>
      <c r="B112" t="s">
        <v>102</v>
      </c>
      <c r="C112" t="str">
        <f>IFERROR(VLOOKUP(B112,Branches!A:B, 2, FALSE), B112&amp;"(NOT FOUND)")</f>
        <v>GRA Branch</v>
      </c>
      <c r="D112" s="1">
        <v>45488</v>
      </c>
      <c r="E112" t="s">
        <v>86</v>
      </c>
      <c r="F112" t="str">
        <f>IFERROR(VLOOKUP(E112, Staff!A:B, 2, FALSE), E112&amp;" (NOT FOUND)")</f>
        <v>Ekene Obi</v>
      </c>
      <c r="G112" t="s">
        <v>16</v>
      </c>
      <c r="H112" t="s">
        <v>42</v>
      </c>
      <c r="J112" t="s">
        <v>894</v>
      </c>
      <c r="K112">
        <v>0</v>
      </c>
      <c r="L112" t="s">
        <v>20</v>
      </c>
      <c r="M112" t="s">
        <v>84</v>
      </c>
      <c r="N112" t="str">
        <f t="shared" si="1"/>
        <v/>
      </c>
      <c r="O112" t="s">
        <v>895</v>
      </c>
    </row>
    <row r="113" spans="1:15" x14ac:dyDescent="0.35">
      <c r="A113">
        <v>5193</v>
      </c>
      <c r="B113" t="s">
        <v>129</v>
      </c>
      <c r="C113" t="str">
        <f>IFERROR(VLOOKUP(B113,Branches!A:B, 2, FALSE), B113&amp;"(NOT FOUND)")</f>
        <v>Sabon Gari Branch</v>
      </c>
      <c r="D113" s="1">
        <v>45472</v>
      </c>
      <c r="E113" t="s">
        <v>51</v>
      </c>
      <c r="F113" t="str">
        <f>IFERROR(VLOOKUP(E113, Staff!A:B, 2, FALSE), E113&amp;" (NOT FOUND)")</f>
        <v>Halima Yusuf</v>
      </c>
      <c r="G113" t="s">
        <v>64</v>
      </c>
      <c r="H113" t="s">
        <v>133</v>
      </c>
      <c r="I113">
        <v>2</v>
      </c>
      <c r="J113" t="s">
        <v>894</v>
      </c>
      <c r="K113">
        <v>0</v>
      </c>
      <c r="L113" t="s">
        <v>20</v>
      </c>
      <c r="M113" t="s">
        <v>84</v>
      </c>
      <c r="N113" t="str">
        <f t="shared" si="1"/>
        <v/>
      </c>
      <c r="O113" t="s">
        <v>895</v>
      </c>
    </row>
    <row r="114" spans="1:15" x14ac:dyDescent="0.35">
      <c r="A114">
        <v>5441</v>
      </c>
      <c r="B114" t="s">
        <v>129</v>
      </c>
      <c r="C114" t="str">
        <f>IFERROR(VLOOKUP(B114,Branches!A:B, 2, FALSE), B114&amp;"(NOT FOUND)")</f>
        <v>Sabon Gari Branch</v>
      </c>
      <c r="D114" s="1">
        <v>45319</v>
      </c>
      <c r="E114" t="s">
        <v>34</v>
      </c>
      <c r="F114" t="str">
        <f>IFERROR(VLOOKUP(E114, Staff!A:B, 2, FALSE), E114&amp;" (NOT FOUND)")</f>
        <v>Funke Ajayi</v>
      </c>
      <c r="G114" t="s">
        <v>16</v>
      </c>
      <c r="H114" t="s">
        <v>109</v>
      </c>
      <c r="I114">
        <v>3</v>
      </c>
      <c r="J114">
        <v>24975.85</v>
      </c>
      <c r="K114">
        <v>0</v>
      </c>
      <c r="L114" t="s">
        <v>47</v>
      </c>
      <c r="M114" t="s">
        <v>84</v>
      </c>
      <c r="N114">
        <f t="shared" si="1"/>
        <v>74927.549999999988</v>
      </c>
      <c r="O114" t="s">
        <v>895</v>
      </c>
    </row>
    <row r="115" spans="1:15" x14ac:dyDescent="0.35">
      <c r="A115">
        <v>5029</v>
      </c>
      <c r="B115" t="s">
        <v>102</v>
      </c>
      <c r="C115" t="str">
        <f>IFERROR(VLOOKUP(B115,Branches!A:B, 2, FALSE), B115&amp;"(NOT FOUND)")</f>
        <v>GRA Branch</v>
      </c>
      <c r="D115" s="1">
        <v>45334</v>
      </c>
      <c r="E115" t="s">
        <v>98</v>
      </c>
      <c r="F115" t="str">
        <f>IFERROR(VLOOKUP(E115, Staff!A:B, 2, FALSE), E115&amp;" (NOT FOUND)")</f>
        <v>S100 (NOT FOUND)</v>
      </c>
      <c r="G115" t="s">
        <v>64</v>
      </c>
      <c r="H115" t="s">
        <v>116</v>
      </c>
      <c r="I115">
        <v>1</v>
      </c>
      <c r="J115">
        <v>43472.17</v>
      </c>
      <c r="K115">
        <v>5</v>
      </c>
      <c r="L115" t="s">
        <v>20</v>
      </c>
      <c r="M115" t="s">
        <v>38</v>
      </c>
      <c r="N115">
        <f t="shared" si="1"/>
        <v>41298.561499999996</v>
      </c>
      <c r="O115" t="s">
        <v>895</v>
      </c>
    </row>
    <row r="116" spans="1:15" x14ac:dyDescent="0.35">
      <c r="A116">
        <v>5153</v>
      </c>
      <c r="B116" t="s">
        <v>32</v>
      </c>
      <c r="C116" t="str">
        <f>IFERROR(VLOOKUP(B116,Branches!A:B, 2, FALSE), B116&amp;"(NOT FOUND)")</f>
        <v>Wuse Branch</v>
      </c>
      <c r="D116" s="1">
        <v>45336</v>
      </c>
      <c r="E116" t="s">
        <v>25</v>
      </c>
      <c r="F116" t="str">
        <f>IFERROR(VLOOKUP(E116, Staff!A:B, 2, FALSE), E116&amp;" (NOT FOUND)")</f>
        <v>Tobi Adewale</v>
      </c>
      <c r="G116" t="s">
        <v>16</v>
      </c>
      <c r="H116" t="s">
        <v>82</v>
      </c>
      <c r="J116">
        <v>34842.620000000003</v>
      </c>
      <c r="K116">
        <v>0</v>
      </c>
      <c r="L116" t="s">
        <v>20</v>
      </c>
      <c r="M116" t="s">
        <v>84</v>
      </c>
      <c r="N116" t="str">
        <f t="shared" si="1"/>
        <v/>
      </c>
      <c r="O116" t="s">
        <v>895</v>
      </c>
    </row>
    <row r="117" spans="1:15" x14ac:dyDescent="0.35">
      <c r="A117">
        <v>5043</v>
      </c>
      <c r="B117" t="s">
        <v>102</v>
      </c>
      <c r="C117" t="str">
        <f>IFERROR(VLOOKUP(B117,Branches!A:B, 2, FALSE), B117&amp;"(NOT FOUND)")</f>
        <v>GRA Branch</v>
      </c>
      <c r="D117" s="1">
        <v>45303</v>
      </c>
      <c r="E117" t="s">
        <v>15</v>
      </c>
      <c r="F117" t="str">
        <f>IFERROR(VLOOKUP(E117, Staff!A:B, 2, FALSE), E117&amp;" (NOT FOUND)")</f>
        <v>Ibrahim Sani</v>
      </c>
      <c r="G117" t="s">
        <v>35</v>
      </c>
      <c r="H117" t="s">
        <v>136</v>
      </c>
      <c r="I117">
        <v>2</v>
      </c>
      <c r="J117" t="s">
        <v>894</v>
      </c>
      <c r="K117">
        <v>15</v>
      </c>
      <c r="L117" t="s">
        <v>60</v>
      </c>
      <c r="M117" t="s">
        <v>84</v>
      </c>
      <c r="N117" t="str">
        <f t="shared" si="1"/>
        <v/>
      </c>
      <c r="O117" t="s">
        <v>895</v>
      </c>
    </row>
    <row r="118" spans="1:15" x14ac:dyDescent="0.35">
      <c r="A118">
        <v>5209</v>
      </c>
      <c r="B118" t="s">
        <v>88</v>
      </c>
      <c r="C118" t="str">
        <f>IFERROR(VLOOKUP(B118,Branches!A:B, 2, FALSE), B118&amp;"(NOT FOUND)")</f>
        <v>Lekki Branch</v>
      </c>
      <c r="D118" s="1">
        <v>45363</v>
      </c>
      <c r="E118" t="s">
        <v>86</v>
      </c>
      <c r="F118" t="str">
        <f>IFERROR(VLOOKUP(E118, Staff!A:B, 2, FALSE), E118&amp;" (NOT FOUND)")</f>
        <v>Ekene Obi</v>
      </c>
      <c r="G118" t="s">
        <v>26</v>
      </c>
      <c r="H118" t="s">
        <v>167</v>
      </c>
      <c r="I118">
        <v>2</v>
      </c>
      <c r="J118">
        <v>32142.16</v>
      </c>
      <c r="K118" t="s">
        <v>894</v>
      </c>
      <c r="L118" t="s">
        <v>60</v>
      </c>
      <c r="M118" t="s">
        <v>84</v>
      </c>
      <c r="N118">
        <f t="shared" si="1"/>
        <v>64284.32</v>
      </c>
      <c r="O118" t="s">
        <v>896</v>
      </c>
    </row>
    <row r="119" spans="1:15" x14ac:dyDescent="0.35">
      <c r="A119">
        <v>5221</v>
      </c>
      <c r="B119" t="s">
        <v>102</v>
      </c>
      <c r="C119" t="str">
        <f>IFERROR(VLOOKUP(B119,Branches!A:B, 2, FALSE), B119&amp;"(NOT FOUND)")</f>
        <v>GRA Branch</v>
      </c>
      <c r="D119" s="1">
        <v>45346</v>
      </c>
      <c r="E119" t="s">
        <v>51</v>
      </c>
      <c r="F119" t="str">
        <f>IFERROR(VLOOKUP(E119, Staff!A:B, 2, FALSE), E119&amp;" (NOT FOUND)")</f>
        <v>Halima Yusuf</v>
      </c>
      <c r="G119" t="s">
        <v>64</v>
      </c>
      <c r="H119" t="s">
        <v>65</v>
      </c>
      <c r="I119">
        <v>1</v>
      </c>
      <c r="J119" t="s">
        <v>894</v>
      </c>
      <c r="K119">
        <v>0</v>
      </c>
      <c r="L119" t="s">
        <v>20</v>
      </c>
      <c r="M119" t="s">
        <v>38</v>
      </c>
      <c r="N119" t="str">
        <f t="shared" si="1"/>
        <v/>
      </c>
      <c r="O119" t="s">
        <v>896</v>
      </c>
    </row>
    <row r="120" spans="1:15" x14ac:dyDescent="0.35">
      <c r="A120">
        <v>5240</v>
      </c>
      <c r="B120" t="s">
        <v>102</v>
      </c>
      <c r="C120" t="str">
        <f>IFERROR(VLOOKUP(B120,Branches!A:B, 2, FALSE), B120&amp;"(NOT FOUND)")</f>
        <v>GRA Branch</v>
      </c>
      <c r="D120" s="1">
        <v>45341</v>
      </c>
      <c r="E120" t="s">
        <v>76</v>
      </c>
      <c r="F120" t="str">
        <f>IFERROR(VLOOKUP(E120, Staff!A:B, 2, FALSE), E120&amp;" (NOT FOUND)")</f>
        <v>Chika Nwankwo</v>
      </c>
      <c r="G120" t="s">
        <v>16</v>
      </c>
      <c r="H120" t="s">
        <v>82</v>
      </c>
      <c r="I120">
        <v>5</v>
      </c>
      <c r="J120">
        <v>14098.6</v>
      </c>
      <c r="K120">
        <v>0</v>
      </c>
      <c r="L120" t="s">
        <v>47</v>
      </c>
      <c r="M120" t="s">
        <v>38</v>
      </c>
      <c r="N120">
        <f t="shared" si="1"/>
        <v>70493</v>
      </c>
      <c r="O120" t="s">
        <v>896</v>
      </c>
    </row>
    <row r="121" spans="1:15" x14ac:dyDescent="0.35">
      <c r="A121">
        <v>5266</v>
      </c>
      <c r="B121" t="s">
        <v>32</v>
      </c>
      <c r="C121" t="str">
        <f>IFERROR(VLOOKUP(B121,Branches!A:B, 2, FALSE), B121&amp;"(NOT FOUND)")</f>
        <v>Wuse Branch</v>
      </c>
      <c r="D121" s="1">
        <v>45463</v>
      </c>
      <c r="E121" t="s">
        <v>25</v>
      </c>
      <c r="F121" t="str">
        <f>IFERROR(VLOOKUP(E121, Staff!A:B, 2, FALSE), E121&amp;" (NOT FOUND)")</f>
        <v>Tobi Adewale</v>
      </c>
      <c r="G121" t="s">
        <v>26</v>
      </c>
      <c r="H121" t="s">
        <v>46</v>
      </c>
      <c r="I121">
        <v>2</v>
      </c>
      <c r="J121">
        <v>1866.03</v>
      </c>
      <c r="K121">
        <v>10</v>
      </c>
      <c r="L121" t="s">
        <v>47</v>
      </c>
      <c r="M121" t="s">
        <v>84</v>
      </c>
      <c r="N121">
        <f t="shared" si="1"/>
        <v>3358.8539999999998</v>
      </c>
      <c r="O121" t="s">
        <v>895</v>
      </c>
    </row>
    <row r="122" spans="1:15" x14ac:dyDescent="0.35">
      <c r="A122">
        <v>5086</v>
      </c>
      <c r="B122" t="s">
        <v>74</v>
      </c>
      <c r="C122" t="str">
        <f>IFERROR(VLOOKUP(B122,Branches!A:B, 2, FALSE), B122&amp;"(NOT FOUND)")</f>
        <v>Bodija Branch</v>
      </c>
      <c r="D122" s="1">
        <v>45296</v>
      </c>
      <c r="E122" t="s">
        <v>108</v>
      </c>
      <c r="F122" t="str">
        <f>IFERROR(VLOOKUP(E122, Staff!A:B, 2, FALSE), E122&amp;" (NOT FOUND)")</f>
        <v>Ronke Bakare</v>
      </c>
      <c r="G122" t="s">
        <v>64</v>
      </c>
      <c r="H122" t="s">
        <v>65</v>
      </c>
      <c r="J122">
        <v>34917.870000000003</v>
      </c>
      <c r="K122">
        <v>0</v>
      </c>
      <c r="L122" t="s">
        <v>60</v>
      </c>
      <c r="M122" t="s">
        <v>84</v>
      </c>
      <c r="N122" t="str">
        <f t="shared" si="1"/>
        <v/>
      </c>
      <c r="O122" t="s">
        <v>895</v>
      </c>
    </row>
    <row r="123" spans="1:15" x14ac:dyDescent="0.35">
      <c r="A123">
        <v>5292</v>
      </c>
      <c r="B123" t="s">
        <v>102</v>
      </c>
      <c r="C123" t="str">
        <f>IFERROR(VLOOKUP(B123,Branches!A:B, 2, FALSE), B123&amp;"(NOT FOUND)")</f>
        <v>GRA Branch</v>
      </c>
      <c r="D123" s="1">
        <v>45506</v>
      </c>
      <c r="E123" t="s">
        <v>25</v>
      </c>
      <c r="F123" t="str">
        <f>IFERROR(VLOOKUP(E123, Staff!A:B, 2, FALSE), E123&amp;" (NOT FOUND)")</f>
        <v>Tobi Adewale</v>
      </c>
      <c r="G123" t="s">
        <v>16</v>
      </c>
      <c r="H123" t="s">
        <v>170</v>
      </c>
      <c r="I123">
        <v>4</v>
      </c>
      <c r="J123">
        <v>22016.98</v>
      </c>
      <c r="K123">
        <v>15</v>
      </c>
      <c r="L123" t="s">
        <v>47</v>
      </c>
      <c r="M123" t="s">
        <v>84</v>
      </c>
      <c r="N123">
        <f t="shared" si="1"/>
        <v>74857.732000000004</v>
      </c>
      <c r="O123" t="s">
        <v>895</v>
      </c>
    </row>
    <row r="124" spans="1:15" x14ac:dyDescent="0.35">
      <c r="A124">
        <v>5254</v>
      </c>
      <c r="B124" t="s">
        <v>88</v>
      </c>
      <c r="C124" t="str">
        <f>IFERROR(VLOOKUP(B124,Branches!A:B, 2, FALSE), B124&amp;"(NOT FOUND)")</f>
        <v>Lekki Branch</v>
      </c>
      <c r="D124" s="1">
        <v>45294</v>
      </c>
      <c r="E124" t="s">
        <v>86</v>
      </c>
      <c r="F124" t="str">
        <f>IFERROR(VLOOKUP(E124, Staff!A:B, 2, FALSE), E124&amp;" (NOT FOUND)")</f>
        <v>Ekene Obi</v>
      </c>
      <c r="G124" t="s">
        <v>26</v>
      </c>
      <c r="H124" t="s">
        <v>27</v>
      </c>
      <c r="I124">
        <v>1</v>
      </c>
      <c r="J124">
        <v>40951.69</v>
      </c>
      <c r="K124" t="s">
        <v>894</v>
      </c>
      <c r="L124" t="s">
        <v>47</v>
      </c>
      <c r="M124" t="s">
        <v>84</v>
      </c>
      <c r="N124">
        <f t="shared" si="1"/>
        <v>40951.69</v>
      </c>
      <c r="O124" t="s">
        <v>896</v>
      </c>
    </row>
    <row r="125" spans="1:15" x14ac:dyDescent="0.35">
      <c r="A125">
        <v>5381</v>
      </c>
      <c r="B125" t="s">
        <v>74</v>
      </c>
      <c r="C125" t="str">
        <f>IFERROR(VLOOKUP(B125,Branches!A:B, 2, FALSE), B125&amp;"(NOT FOUND)")</f>
        <v>Bodija Branch</v>
      </c>
      <c r="D125" s="1">
        <v>45409</v>
      </c>
      <c r="E125" t="s">
        <v>98</v>
      </c>
      <c r="F125" t="str">
        <f>IFERROR(VLOOKUP(E125, Staff!A:B, 2, FALSE), E125&amp;" (NOT FOUND)")</f>
        <v>S100 (NOT FOUND)</v>
      </c>
      <c r="G125" t="s">
        <v>64</v>
      </c>
      <c r="H125" t="s">
        <v>141</v>
      </c>
      <c r="J125" t="s">
        <v>894</v>
      </c>
      <c r="K125" t="s">
        <v>894</v>
      </c>
      <c r="L125" t="s">
        <v>20</v>
      </c>
      <c r="M125" t="s">
        <v>84</v>
      </c>
      <c r="N125" t="str">
        <f t="shared" si="1"/>
        <v/>
      </c>
      <c r="O125" t="s">
        <v>895</v>
      </c>
    </row>
    <row r="126" spans="1:15" x14ac:dyDescent="0.35">
      <c r="A126">
        <v>5260</v>
      </c>
      <c r="B126" t="s">
        <v>88</v>
      </c>
      <c r="C126" t="str">
        <f>IFERROR(VLOOKUP(B126,Branches!A:B, 2, FALSE), B126&amp;"(NOT FOUND)")</f>
        <v>Lekki Branch</v>
      </c>
      <c r="D126" s="1">
        <v>45306</v>
      </c>
      <c r="E126" t="s">
        <v>51</v>
      </c>
      <c r="F126" t="str">
        <f>IFERROR(VLOOKUP(E126, Staff!A:B, 2, FALSE), E126&amp;" (NOT FOUND)")</f>
        <v>Halima Yusuf</v>
      </c>
      <c r="G126" t="s">
        <v>26</v>
      </c>
      <c r="H126" t="s">
        <v>167</v>
      </c>
      <c r="I126">
        <v>3</v>
      </c>
      <c r="J126">
        <v>20157.38</v>
      </c>
      <c r="K126" t="s">
        <v>894</v>
      </c>
      <c r="L126" t="s">
        <v>47</v>
      </c>
      <c r="M126" t="s">
        <v>84</v>
      </c>
      <c r="N126">
        <f t="shared" si="1"/>
        <v>60472.14</v>
      </c>
      <c r="O126" t="s">
        <v>895</v>
      </c>
    </row>
    <row r="127" spans="1:15" x14ac:dyDescent="0.35">
      <c r="A127">
        <v>5069</v>
      </c>
      <c r="B127" t="s">
        <v>74</v>
      </c>
      <c r="C127" t="str">
        <f>IFERROR(VLOOKUP(B127,Branches!A:B, 2, FALSE), B127&amp;"(NOT FOUND)")</f>
        <v>Bodija Branch</v>
      </c>
      <c r="D127" s="1">
        <v>45427</v>
      </c>
      <c r="E127" t="s">
        <v>34</v>
      </c>
      <c r="F127" t="str">
        <f>IFERROR(VLOOKUP(E127, Staff!A:B, 2, FALSE), E127&amp;" (NOT FOUND)")</f>
        <v>Funke Ajayi</v>
      </c>
      <c r="G127" t="s">
        <v>35</v>
      </c>
      <c r="H127" t="s">
        <v>36</v>
      </c>
      <c r="I127">
        <v>2</v>
      </c>
      <c r="J127">
        <v>8603.2900000000009</v>
      </c>
      <c r="K127" t="s">
        <v>894</v>
      </c>
      <c r="L127" t="s">
        <v>47</v>
      </c>
      <c r="M127" t="s">
        <v>84</v>
      </c>
      <c r="N127">
        <f t="shared" si="1"/>
        <v>17206.580000000002</v>
      </c>
      <c r="O127" t="s">
        <v>896</v>
      </c>
    </row>
    <row r="128" spans="1:15" x14ac:dyDescent="0.35">
      <c r="A128">
        <v>5368</v>
      </c>
      <c r="B128" t="s">
        <v>32</v>
      </c>
      <c r="C128" t="str">
        <f>IFERROR(VLOOKUP(B128,Branches!A:B, 2, FALSE), B128&amp;"(NOT FOUND)")</f>
        <v>Wuse Branch</v>
      </c>
      <c r="D128" s="1">
        <v>45344</v>
      </c>
      <c r="E128" t="s">
        <v>86</v>
      </c>
      <c r="F128" t="str">
        <f>IFERROR(VLOOKUP(E128, Staff!A:B, 2, FALSE), E128&amp;" (NOT FOUND)")</f>
        <v>Ekene Obi</v>
      </c>
      <c r="G128" t="s">
        <v>26</v>
      </c>
      <c r="H128" t="s">
        <v>112</v>
      </c>
      <c r="I128">
        <v>1</v>
      </c>
      <c r="J128">
        <v>1244.1300000000001</v>
      </c>
      <c r="K128">
        <v>15</v>
      </c>
      <c r="L128" t="s">
        <v>20</v>
      </c>
      <c r="M128" t="s">
        <v>84</v>
      </c>
      <c r="N128">
        <f t="shared" si="1"/>
        <v>1057.5105000000001</v>
      </c>
      <c r="O128" t="s">
        <v>895</v>
      </c>
    </row>
    <row r="129" spans="1:15" x14ac:dyDescent="0.35">
      <c r="A129">
        <v>5354</v>
      </c>
      <c r="B129" t="s">
        <v>88</v>
      </c>
      <c r="C129" t="str">
        <f>IFERROR(VLOOKUP(B129,Branches!A:B, 2, FALSE), B129&amp;"(NOT FOUND)")</f>
        <v>Lekki Branch</v>
      </c>
      <c r="D129" s="1">
        <v>45350</v>
      </c>
      <c r="E129" t="s">
        <v>57</v>
      </c>
      <c r="F129" t="str">
        <f>IFERROR(VLOOKUP(E129, Staff!A:B, 2, FALSE), E129&amp;" (NOT FOUND)")</f>
        <v>Kelechi Umeh</v>
      </c>
      <c r="G129" t="s">
        <v>26</v>
      </c>
      <c r="H129" t="s">
        <v>112</v>
      </c>
      <c r="J129">
        <v>15979.18</v>
      </c>
      <c r="K129">
        <v>10</v>
      </c>
      <c r="L129" t="s">
        <v>20</v>
      </c>
      <c r="M129" t="s">
        <v>84</v>
      </c>
      <c r="N129" t="str">
        <f t="shared" si="1"/>
        <v/>
      </c>
      <c r="O129" t="s">
        <v>895</v>
      </c>
    </row>
    <row r="130" spans="1:15" x14ac:dyDescent="0.35">
      <c r="A130">
        <v>5160</v>
      </c>
      <c r="B130" t="s">
        <v>88</v>
      </c>
      <c r="C130" t="str">
        <f>IFERROR(VLOOKUP(B130,Branches!A:B, 2, FALSE), B130&amp;"(NOT FOUND)")</f>
        <v>Lekki Branch</v>
      </c>
      <c r="D130" s="1">
        <v>45519</v>
      </c>
      <c r="E130" t="s">
        <v>57</v>
      </c>
      <c r="F130" t="str">
        <f>IFERROR(VLOOKUP(E130, Staff!A:B, 2, FALSE), E130&amp;" (NOT FOUND)")</f>
        <v>Kelechi Umeh</v>
      </c>
      <c r="G130" t="s">
        <v>16</v>
      </c>
      <c r="H130" t="s">
        <v>109</v>
      </c>
      <c r="I130">
        <v>2</v>
      </c>
      <c r="J130" t="s">
        <v>894</v>
      </c>
      <c r="K130">
        <v>5</v>
      </c>
      <c r="L130" t="s">
        <v>47</v>
      </c>
      <c r="M130" t="s">
        <v>38</v>
      </c>
      <c r="N130" t="str">
        <f t="shared" si="1"/>
        <v/>
      </c>
      <c r="O130" t="s">
        <v>896</v>
      </c>
    </row>
    <row r="131" spans="1:15" x14ac:dyDescent="0.35">
      <c r="A131">
        <v>5345</v>
      </c>
      <c r="B131" t="s">
        <v>74</v>
      </c>
      <c r="C131" t="str">
        <f>IFERROR(VLOOKUP(B131,Branches!A:B, 2, FALSE), B131&amp;"(NOT FOUND)")</f>
        <v>Bodija Branch</v>
      </c>
      <c r="D131" s="1">
        <v>45475</v>
      </c>
      <c r="E131" t="s">
        <v>57</v>
      </c>
      <c r="F131" t="str">
        <f>IFERROR(VLOOKUP(E131, Staff!A:B, 2, FALSE), E131&amp;" (NOT FOUND)")</f>
        <v>Kelechi Umeh</v>
      </c>
      <c r="G131" t="s">
        <v>64</v>
      </c>
      <c r="H131" t="s">
        <v>141</v>
      </c>
      <c r="J131">
        <v>1916.95</v>
      </c>
      <c r="K131" t="s">
        <v>894</v>
      </c>
      <c r="L131" t="s">
        <v>47</v>
      </c>
      <c r="M131" t="s">
        <v>84</v>
      </c>
      <c r="N131" t="str">
        <f t="shared" ref="N131:N194" si="2">IF(OR(I131="",J131=""),"",IF(OR(K131="", K131=0), I131*J131, (I131*J131)-(K131/100)*I131*J131))</f>
        <v/>
      </c>
      <c r="O131" t="s">
        <v>895</v>
      </c>
    </row>
    <row r="132" spans="1:15" x14ac:dyDescent="0.35">
      <c r="A132">
        <v>5047</v>
      </c>
      <c r="B132" t="s">
        <v>306</v>
      </c>
      <c r="C132" t="str">
        <f>IFERROR(VLOOKUP(B132,Branches!A:B, 2, FALSE), B132&amp;"(NOT FOUND)")</f>
        <v>BR12(NOT FOUND)</v>
      </c>
      <c r="D132" s="1">
        <v>45477</v>
      </c>
      <c r="E132" t="s">
        <v>57</v>
      </c>
      <c r="F132" t="str">
        <f>IFERROR(VLOOKUP(E132, Staff!A:B, 2, FALSE), E132&amp;" (NOT FOUND)")</f>
        <v>Kelechi Umeh</v>
      </c>
      <c r="G132" t="s">
        <v>16</v>
      </c>
      <c r="H132" t="s">
        <v>42</v>
      </c>
      <c r="I132">
        <v>4</v>
      </c>
      <c r="J132">
        <v>41669.660000000003</v>
      </c>
      <c r="K132" t="s">
        <v>894</v>
      </c>
      <c r="L132" t="s">
        <v>47</v>
      </c>
      <c r="M132" t="s">
        <v>84</v>
      </c>
      <c r="N132">
        <f t="shared" si="2"/>
        <v>166678.64000000001</v>
      </c>
      <c r="O132" t="s">
        <v>895</v>
      </c>
    </row>
    <row r="133" spans="1:15" x14ac:dyDescent="0.35">
      <c r="A133">
        <v>5321</v>
      </c>
      <c r="B133" t="s">
        <v>88</v>
      </c>
      <c r="C133" t="str">
        <f>IFERROR(VLOOKUP(B133,Branches!A:B, 2, FALSE), B133&amp;"(NOT FOUND)")</f>
        <v>Lekki Branch</v>
      </c>
      <c r="D133" s="1">
        <v>45433</v>
      </c>
      <c r="E133" t="s">
        <v>25</v>
      </c>
      <c r="F133" t="str">
        <f>IFERROR(VLOOKUP(E133, Staff!A:B, 2, FALSE), E133&amp;" (NOT FOUND)")</f>
        <v>Tobi Adewale</v>
      </c>
      <c r="G133" t="s">
        <v>26</v>
      </c>
      <c r="H133" t="s">
        <v>46</v>
      </c>
      <c r="I133">
        <v>4</v>
      </c>
      <c r="J133" t="s">
        <v>894</v>
      </c>
      <c r="K133" t="s">
        <v>894</v>
      </c>
      <c r="L133" t="s">
        <v>20</v>
      </c>
      <c r="M133" t="s">
        <v>38</v>
      </c>
      <c r="N133" t="str">
        <f t="shared" si="2"/>
        <v/>
      </c>
      <c r="O133" t="s">
        <v>895</v>
      </c>
    </row>
    <row r="134" spans="1:15" x14ac:dyDescent="0.35">
      <c r="A134">
        <v>5169</v>
      </c>
      <c r="B134" t="s">
        <v>102</v>
      </c>
      <c r="C134" t="str">
        <f>IFERROR(VLOOKUP(B134,Branches!A:B, 2, FALSE), B134&amp;"(NOT FOUND)")</f>
        <v>GRA Branch</v>
      </c>
      <c r="D134" s="1">
        <v>45367</v>
      </c>
      <c r="E134" t="s">
        <v>15</v>
      </c>
      <c r="F134" t="str">
        <f>IFERROR(VLOOKUP(E134, Staff!A:B, 2, FALSE), E134&amp;" (NOT FOUND)")</f>
        <v>Ibrahim Sani</v>
      </c>
      <c r="G134" t="s">
        <v>26</v>
      </c>
      <c r="H134" t="s">
        <v>52</v>
      </c>
      <c r="I134">
        <v>3</v>
      </c>
      <c r="J134">
        <v>24102.98</v>
      </c>
      <c r="K134">
        <v>5</v>
      </c>
      <c r="L134" t="s">
        <v>60</v>
      </c>
      <c r="M134" t="s">
        <v>84</v>
      </c>
      <c r="N134">
        <f t="shared" si="2"/>
        <v>68693.493000000002</v>
      </c>
      <c r="O134" t="s">
        <v>896</v>
      </c>
    </row>
    <row r="135" spans="1:15" x14ac:dyDescent="0.35">
      <c r="A135">
        <v>5011</v>
      </c>
      <c r="B135" t="s">
        <v>129</v>
      </c>
      <c r="C135" t="str">
        <f>IFERROR(VLOOKUP(B135,Branches!A:B, 2, FALSE), B135&amp;"(NOT FOUND)")</f>
        <v>Sabon Gari Branch</v>
      </c>
      <c r="D135" s="1">
        <v>45477</v>
      </c>
      <c r="E135" t="s">
        <v>34</v>
      </c>
      <c r="F135" t="str">
        <f>IFERROR(VLOOKUP(E135, Staff!A:B, 2, FALSE), E135&amp;" (NOT FOUND)")</f>
        <v>Funke Ajayi</v>
      </c>
      <c r="G135" t="s">
        <v>16</v>
      </c>
      <c r="H135" t="s">
        <v>109</v>
      </c>
      <c r="I135">
        <v>3</v>
      </c>
      <c r="J135">
        <v>33445.629999999997</v>
      </c>
      <c r="K135" t="s">
        <v>894</v>
      </c>
      <c r="L135" t="s">
        <v>20</v>
      </c>
      <c r="M135" t="s">
        <v>38</v>
      </c>
      <c r="N135">
        <f t="shared" si="2"/>
        <v>100336.88999999998</v>
      </c>
      <c r="O135" t="s">
        <v>896</v>
      </c>
    </row>
    <row r="136" spans="1:15" x14ac:dyDescent="0.35">
      <c r="A136">
        <v>5383</v>
      </c>
      <c r="B136" t="s">
        <v>32</v>
      </c>
      <c r="C136" t="str">
        <f>IFERROR(VLOOKUP(B136,Branches!A:B, 2, FALSE), B136&amp;"(NOT FOUND)")</f>
        <v>Wuse Branch</v>
      </c>
      <c r="D136" s="1">
        <v>45345</v>
      </c>
      <c r="E136" t="s">
        <v>98</v>
      </c>
      <c r="F136" t="str">
        <f>IFERROR(VLOOKUP(E136, Staff!A:B, 2, FALSE), E136&amp;" (NOT FOUND)")</f>
        <v>S100 (NOT FOUND)</v>
      </c>
      <c r="G136" t="s">
        <v>35</v>
      </c>
      <c r="H136" t="s">
        <v>36</v>
      </c>
      <c r="I136">
        <v>5</v>
      </c>
      <c r="J136">
        <v>41865.11</v>
      </c>
      <c r="K136" t="s">
        <v>894</v>
      </c>
      <c r="L136" t="s">
        <v>20</v>
      </c>
      <c r="M136" t="s">
        <v>38</v>
      </c>
      <c r="N136">
        <f t="shared" si="2"/>
        <v>209325.55</v>
      </c>
      <c r="O136" t="s">
        <v>895</v>
      </c>
    </row>
    <row r="137" spans="1:15" x14ac:dyDescent="0.35">
      <c r="A137">
        <v>5409</v>
      </c>
      <c r="B137" t="s">
        <v>32</v>
      </c>
      <c r="C137" t="str">
        <f>IFERROR(VLOOKUP(B137,Branches!A:B, 2, FALSE), B137&amp;"(NOT FOUND)")</f>
        <v>Wuse Branch</v>
      </c>
      <c r="D137" s="1">
        <v>45449</v>
      </c>
      <c r="E137" t="s">
        <v>57</v>
      </c>
      <c r="F137" t="str">
        <f>IFERROR(VLOOKUP(E137, Staff!A:B, 2, FALSE), E137&amp;" (NOT FOUND)")</f>
        <v>Kelechi Umeh</v>
      </c>
      <c r="G137" t="s">
        <v>64</v>
      </c>
      <c r="H137" t="s">
        <v>116</v>
      </c>
      <c r="J137">
        <v>42558.93</v>
      </c>
      <c r="K137">
        <v>15</v>
      </c>
      <c r="L137" t="s">
        <v>20</v>
      </c>
      <c r="M137" t="s">
        <v>38</v>
      </c>
      <c r="N137" t="str">
        <f t="shared" si="2"/>
        <v/>
      </c>
      <c r="O137" t="s">
        <v>896</v>
      </c>
    </row>
    <row r="138" spans="1:15" x14ac:dyDescent="0.35">
      <c r="A138">
        <v>5090</v>
      </c>
      <c r="B138" t="s">
        <v>129</v>
      </c>
      <c r="C138" t="str">
        <f>IFERROR(VLOOKUP(B138,Branches!A:B, 2, FALSE), B138&amp;"(NOT FOUND)")</f>
        <v>Sabon Gari Branch</v>
      </c>
      <c r="D138" s="1">
        <v>45501</v>
      </c>
      <c r="E138" t="s">
        <v>25</v>
      </c>
      <c r="F138" t="str">
        <f>IFERROR(VLOOKUP(E138, Staff!A:B, 2, FALSE), E138&amp;" (NOT FOUND)")</f>
        <v>Tobi Adewale</v>
      </c>
      <c r="G138" t="s">
        <v>26</v>
      </c>
      <c r="H138" t="s">
        <v>52</v>
      </c>
      <c r="J138" t="s">
        <v>894</v>
      </c>
      <c r="K138">
        <v>15</v>
      </c>
      <c r="L138" t="s">
        <v>60</v>
      </c>
      <c r="M138" t="s">
        <v>38</v>
      </c>
      <c r="N138" t="str">
        <f t="shared" si="2"/>
        <v/>
      </c>
      <c r="O138" t="s">
        <v>896</v>
      </c>
    </row>
    <row r="139" spans="1:15" x14ac:dyDescent="0.35">
      <c r="A139">
        <v>5215</v>
      </c>
      <c r="B139" t="s">
        <v>88</v>
      </c>
      <c r="C139" t="str">
        <f>IFERROR(VLOOKUP(B139,Branches!A:B, 2, FALSE), B139&amp;"(NOT FOUND)")</f>
        <v>Lekki Branch</v>
      </c>
      <c r="D139" s="1">
        <v>45411</v>
      </c>
      <c r="E139" t="s">
        <v>34</v>
      </c>
      <c r="F139" t="str">
        <f>IFERROR(VLOOKUP(E139, Staff!A:B, 2, FALSE), E139&amp;" (NOT FOUND)")</f>
        <v>Funke Ajayi</v>
      </c>
      <c r="G139" t="s">
        <v>26</v>
      </c>
      <c r="H139" t="s">
        <v>27</v>
      </c>
      <c r="I139">
        <v>1</v>
      </c>
      <c r="J139">
        <v>41611.58</v>
      </c>
      <c r="K139" t="s">
        <v>894</v>
      </c>
      <c r="L139" t="s">
        <v>60</v>
      </c>
      <c r="M139" t="s">
        <v>38</v>
      </c>
      <c r="N139">
        <f t="shared" si="2"/>
        <v>41611.58</v>
      </c>
      <c r="O139" t="s">
        <v>894</v>
      </c>
    </row>
    <row r="140" spans="1:15" x14ac:dyDescent="0.35">
      <c r="A140">
        <v>5207</v>
      </c>
      <c r="B140" t="s">
        <v>129</v>
      </c>
      <c r="C140" t="str">
        <f>IFERROR(VLOOKUP(B140,Branches!A:B, 2, FALSE), B140&amp;"(NOT FOUND)")</f>
        <v>Sabon Gari Branch</v>
      </c>
      <c r="D140" s="1">
        <v>45517</v>
      </c>
      <c r="E140" t="s">
        <v>108</v>
      </c>
      <c r="F140" t="str">
        <f>IFERROR(VLOOKUP(E140, Staff!A:B, 2, FALSE), E140&amp;" (NOT FOUND)")</f>
        <v>Ronke Bakare</v>
      </c>
      <c r="G140" t="s">
        <v>16</v>
      </c>
      <c r="H140" t="s">
        <v>170</v>
      </c>
      <c r="I140">
        <v>4</v>
      </c>
      <c r="J140" t="s">
        <v>894</v>
      </c>
      <c r="K140">
        <v>15</v>
      </c>
      <c r="L140" t="s">
        <v>60</v>
      </c>
      <c r="M140" t="s">
        <v>38</v>
      </c>
      <c r="N140" t="str">
        <f t="shared" si="2"/>
        <v/>
      </c>
      <c r="O140" t="s">
        <v>896</v>
      </c>
    </row>
    <row r="141" spans="1:15" x14ac:dyDescent="0.35">
      <c r="A141">
        <v>5219</v>
      </c>
      <c r="B141" t="s">
        <v>88</v>
      </c>
      <c r="C141" t="str">
        <f>IFERROR(VLOOKUP(B141,Branches!A:B, 2, FALSE), B141&amp;"(NOT FOUND)")</f>
        <v>Lekki Branch</v>
      </c>
      <c r="D141" s="1">
        <v>45478</v>
      </c>
      <c r="E141" t="s">
        <v>76</v>
      </c>
      <c r="F141" t="str">
        <f>IFERROR(VLOOKUP(E141, Staff!A:B, 2, FALSE), E141&amp;" (NOT FOUND)")</f>
        <v>Chika Nwankwo</v>
      </c>
      <c r="G141" t="s">
        <v>64</v>
      </c>
      <c r="H141" t="s">
        <v>65</v>
      </c>
      <c r="J141">
        <v>13851.08</v>
      </c>
      <c r="K141">
        <v>15</v>
      </c>
      <c r="L141" t="s">
        <v>60</v>
      </c>
      <c r="M141" t="s">
        <v>38</v>
      </c>
      <c r="N141" t="str">
        <f t="shared" si="2"/>
        <v/>
      </c>
      <c r="O141" t="s">
        <v>895</v>
      </c>
    </row>
    <row r="142" spans="1:15" x14ac:dyDescent="0.35">
      <c r="A142">
        <v>5367</v>
      </c>
      <c r="B142" t="s">
        <v>129</v>
      </c>
      <c r="C142" t="str">
        <f>IFERROR(VLOOKUP(B142,Branches!A:B, 2, FALSE), B142&amp;"(NOT FOUND)")</f>
        <v>Sabon Gari Branch</v>
      </c>
      <c r="D142" s="1">
        <v>45355</v>
      </c>
      <c r="E142" t="s">
        <v>25</v>
      </c>
      <c r="F142" t="str">
        <f>IFERROR(VLOOKUP(E142, Staff!A:B, 2, FALSE), E142&amp;" (NOT FOUND)")</f>
        <v>Tobi Adewale</v>
      </c>
      <c r="G142" t="s">
        <v>35</v>
      </c>
      <c r="H142" t="s">
        <v>99</v>
      </c>
      <c r="I142">
        <v>2</v>
      </c>
      <c r="J142" t="s">
        <v>894</v>
      </c>
      <c r="K142">
        <v>15</v>
      </c>
      <c r="L142" t="s">
        <v>47</v>
      </c>
      <c r="M142" t="s">
        <v>38</v>
      </c>
      <c r="N142" t="str">
        <f t="shared" si="2"/>
        <v/>
      </c>
      <c r="O142" t="s">
        <v>896</v>
      </c>
    </row>
    <row r="143" spans="1:15" x14ac:dyDescent="0.35">
      <c r="A143">
        <v>5072</v>
      </c>
      <c r="B143" t="s">
        <v>129</v>
      </c>
      <c r="C143" t="str">
        <f>IFERROR(VLOOKUP(B143,Branches!A:B, 2, FALSE), B143&amp;"(NOT FOUND)")</f>
        <v>Sabon Gari Branch</v>
      </c>
      <c r="D143" s="1">
        <v>45559</v>
      </c>
      <c r="E143" t="s">
        <v>76</v>
      </c>
      <c r="F143" t="str">
        <f>IFERROR(VLOOKUP(E143, Staff!A:B, 2, FALSE), E143&amp;" (NOT FOUND)")</f>
        <v>Chika Nwankwo</v>
      </c>
      <c r="G143" t="s">
        <v>35</v>
      </c>
      <c r="H143" t="s">
        <v>99</v>
      </c>
      <c r="J143" t="s">
        <v>894</v>
      </c>
      <c r="K143" t="s">
        <v>894</v>
      </c>
      <c r="L143" t="s">
        <v>47</v>
      </c>
      <c r="M143" t="s">
        <v>38</v>
      </c>
      <c r="N143" t="str">
        <f t="shared" si="2"/>
        <v/>
      </c>
      <c r="O143" t="s">
        <v>896</v>
      </c>
    </row>
    <row r="144" spans="1:15" x14ac:dyDescent="0.35">
      <c r="A144">
        <v>5134</v>
      </c>
      <c r="B144" t="s">
        <v>32</v>
      </c>
      <c r="C144" t="str">
        <f>IFERROR(VLOOKUP(B144,Branches!A:B, 2, FALSE), B144&amp;"(NOT FOUND)")</f>
        <v>Wuse Branch</v>
      </c>
      <c r="D144" s="1">
        <v>45336</v>
      </c>
      <c r="E144" t="s">
        <v>34</v>
      </c>
      <c r="F144" t="str">
        <f>IFERROR(VLOOKUP(E144, Staff!A:B, 2, FALSE), E144&amp;" (NOT FOUND)")</f>
        <v>Funke Ajayi</v>
      </c>
      <c r="G144" t="s">
        <v>16</v>
      </c>
      <c r="H144" t="s">
        <v>17</v>
      </c>
      <c r="I144">
        <v>2</v>
      </c>
      <c r="J144">
        <v>20078.98</v>
      </c>
      <c r="K144">
        <v>15</v>
      </c>
      <c r="L144" t="s">
        <v>47</v>
      </c>
      <c r="M144" t="s">
        <v>38</v>
      </c>
      <c r="N144">
        <f t="shared" si="2"/>
        <v>34134.266000000003</v>
      </c>
      <c r="O144" t="s">
        <v>896</v>
      </c>
    </row>
    <row r="145" spans="1:15" x14ac:dyDescent="0.35">
      <c r="A145">
        <v>5161</v>
      </c>
      <c r="B145" t="s">
        <v>102</v>
      </c>
      <c r="C145" t="str">
        <f>IFERROR(VLOOKUP(B145,Branches!A:B, 2, FALSE), B145&amp;"(NOT FOUND)")</f>
        <v>GRA Branch</v>
      </c>
      <c r="D145" s="1">
        <v>45499</v>
      </c>
      <c r="E145" t="s">
        <v>51</v>
      </c>
      <c r="F145" t="str">
        <f>IFERROR(VLOOKUP(E145, Staff!A:B, 2, FALSE), E145&amp;" (NOT FOUND)")</f>
        <v>Halima Yusuf</v>
      </c>
      <c r="G145" t="s">
        <v>35</v>
      </c>
      <c r="H145" t="s">
        <v>36</v>
      </c>
      <c r="I145">
        <v>1</v>
      </c>
      <c r="J145">
        <v>24897.58</v>
      </c>
      <c r="K145" t="s">
        <v>894</v>
      </c>
      <c r="L145" t="s">
        <v>20</v>
      </c>
      <c r="M145" t="s">
        <v>84</v>
      </c>
      <c r="N145">
        <f t="shared" si="2"/>
        <v>24897.58</v>
      </c>
      <c r="O145" t="s">
        <v>895</v>
      </c>
    </row>
    <row r="146" spans="1:15" x14ac:dyDescent="0.35">
      <c r="A146">
        <v>5358</v>
      </c>
      <c r="B146" t="s">
        <v>32</v>
      </c>
      <c r="C146" t="str">
        <f>IFERROR(VLOOKUP(B146,Branches!A:B, 2, FALSE), B146&amp;"(NOT FOUND)")</f>
        <v>Wuse Branch</v>
      </c>
      <c r="D146" s="1">
        <v>45440</v>
      </c>
      <c r="E146" t="s">
        <v>51</v>
      </c>
      <c r="F146" t="str">
        <f>IFERROR(VLOOKUP(E146, Staff!A:B, 2, FALSE), E146&amp;" (NOT FOUND)")</f>
        <v>Halima Yusuf</v>
      </c>
      <c r="G146" t="s">
        <v>35</v>
      </c>
      <c r="H146" t="s">
        <v>36</v>
      </c>
      <c r="I146">
        <v>5</v>
      </c>
      <c r="J146">
        <v>6559.19</v>
      </c>
      <c r="K146" t="s">
        <v>894</v>
      </c>
      <c r="L146" t="s">
        <v>20</v>
      </c>
      <c r="M146" t="s">
        <v>84</v>
      </c>
      <c r="N146">
        <f t="shared" si="2"/>
        <v>32795.949999999997</v>
      </c>
      <c r="O146" t="s">
        <v>895</v>
      </c>
    </row>
    <row r="147" spans="1:15" x14ac:dyDescent="0.35">
      <c r="A147">
        <v>5396</v>
      </c>
      <c r="B147" t="s">
        <v>88</v>
      </c>
      <c r="C147" t="str">
        <f>IFERROR(VLOOKUP(B147,Branches!A:B, 2, FALSE), B147&amp;"(NOT FOUND)")</f>
        <v>Lekki Branch</v>
      </c>
      <c r="D147" s="1">
        <v>45496</v>
      </c>
      <c r="E147" t="s">
        <v>86</v>
      </c>
      <c r="F147" t="str">
        <f>IFERROR(VLOOKUP(E147, Staff!A:B, 2, FALSE), E147&amp;" (NOT FOUND)")</f>
        <v>Ekene Obi</v>
      </c>
      <c r="G147" t="s">
        <v>64</v>
      </c>
      <c r="H147" t="s">
        <v>116</v>
      </c>
      <c r="I147">
        <v>1</v>
      </c>
      <c r="J147">
        <v>13670.57</v>
      </c>
      <c r="K147">
        <v>0</v>
      </c>
      <c r="L147" t="s">
        <v>47</v>
      </c>
      <c r="M147" t="s">
        <v>84</v>
      </c>
      <c r="N147">
        <f t="shared" si="2"/>
        <v>13670.57</v>
      </c>
      <c r="O147" t="s">
        <v>896</v>
      </c>
    </row>
    <row r="148" spans="1:15" x14ac:dyDescent="0.35">
      <c r="A148">
        <v>5499</v>
      </c>
      <c r="B148" t="s">
        <v>32</v>
      </c>
      <c r="C148" t="str">
        <f>IFERROR(VLOOKUP(B148,Branches!A:B, 2, FALSE), B148&amp;"(NOT FOUND)")</f>
        <v>Wuse Branch</v>
      </c>
      <c r="D148" s="1">
        <v>45306</v>
      </c>
      <c r="E148" t="s">
        <v>34</v>
      </c>
      <c r="F148" t="str">
        <f>IFERROR(VLOOKUP(E148, Staff!A:B, 2, FALSE), E148&amp;" (NOT FOUND)")</f>
        <v>Funke Ajayi</v>
      </c>
      <c r="G148" t="s">
        <v>64</v>
      </c>
      <c r="H148" t="s">
        <v>116</v>
      </c>
      <c r="I148">
        <v>4</v>
      </c>
      <c r="J148" t="s">
        <v>894</v>
      </c>
      <c r="K148">
        <v>10</v>
      </c>
      <c r="L148" t="s">
        <v>47</v>
      </c>
      <c r="M148" t="s">
        <v>38</v>
      </c>
      <c r="N148" t="str">
        <f t="shared" si="2"/>
        <v/>
      </c>
      <c r="O148" t="s">
        <v>896</v>
      </c>
    </row>
    <row r="149" spans="1:15" x14ac:dyDescent="0.35">
      <c r="A149">
        <v>5327</v>
      </c>
      <c r="B149" t="s">
        <v>129</v>
      </c>
      <c r="C149" t="str">
        <f>IFERROR(VLOOKUP(B149,Branches!A:B, 2, FALSE), B149&amp;"(NOT FOUND)")</f>
        <v>Sabon Gari Branch</v>
      </c>
      <c r="D149" s="1">
        <v>45480</v>
      </c>
      <c r="E149" t="s">
        <v>34</v>
      </c>
      <c r="F149" t="str">
        <f>IFERROR(VLOOKUP(E149, Staff!A:B, 2, FALSE), E149&amp;" (NOT FOUND)")</f>
        <v>Funke Ajayi</v>
      </c>
      <c r="G149" t="s">
        <v>35</v>
      </c>
      <c r="H149" t="s">
        <v>136</v>
      </c>
      <c r="I149">
        <v>5</v>
      </c>
      <c r="J149">
        <v>14662.42</v>
      </c>
      <c r="K149">
        <v>15</v>
      </c>
      <c r="L149" t="s">
        <v>60</v>
      </c>
      <c r="M149" t="s">
        <v>84</v>
      </c>
      <c r="N149">
        <f t="shared" si="2"/>
        <v>62315.285000000003</v>
      </c>
      <c r="O149" t="s">
        <v>895</v>
      </c>
    </row>
    <row r="150" spans="1:15" x14ac:dyDescent="0.35">
      <c r="A150">
        <v>5288</v>
      </c>
      <c r="B150" t="s">
        <v>88</v>
      </c>
      <c r="C150" t="str">
        <f>IFERROR(VLOOKUP(B150,Branches!A:B, 2, FALSE), B150&amp;"(NOT FOUND)")</f>
        <v>Lekki Branch</v>
      </c>
      <c r="D150" s="1">
        <v>45533</v>
      </c>
      <c r="E150" t="s">
        <v>25</v>
      </c>
      <c r="F150" t="str">
        <f>IFERROR(VLOOKUP(E150, Staff!A:B, 2, FALSE), E150&amp;" (NOT FOUND)")</f>
        <v>Tobi Adewale</v>
      </c>
      <c r="G150" t="s">
        <v>26</v>
      </c>
      <c r="H150" t="s">
        <v>167</v>
      </c>
      <c r="I150">
        <v>2</v>
      </c>
      <c r="J150" t="s">
        <v>894</v>
      </c>
      <c r="K150" t="s">
        <v>894</v>
      </c>
      <c r="L150" t="s">
        <v>47</v>
      </c>
      <c r="M150" t="s">
        <v>84</v>
      </c>
      <c r="N150" t="str">
        <f t="shared" si="2"/>
        <v/>
      </c>
      <c r="O150" t="s">
        <v>896</v>
      </c>
    </row>
    <row r="151" spans="1:15" x14ac:dyDescent="0.35">
      <c r="A151">
        <v>5108</v>
      </c>
      <c r="B151" t="s">
        <v>102</v>
      </c>
      <c r="C151" t="str">
        <f>IFERROR(VLOOKUP(B151,Branches!A:B, 2, FALSE), B151&amp;"(NOT FOUND)")</f>
        <v>GRA Branch</v>
      </c>
      <c r="D151" s="1">
        <v>45376</v>
      </c>
      <c r="E151" t="s">
        <v>76</v>
      </c>
      <c r="F151" t="str">
        <f>IFERROR(VLOOKUP(E151, Staff!A:B, 2, FALSE), E151&amp;" (NOT FOUND)")</f>
        <v>Chika Nwankwo</v>
      </c>
      <c r="G151" t="s">
        <v>16</v>
      </c>
      <c r="H151" t="s">
        <v>170</v>
      </c>
      <c r="J151" t="s">
        <v>894</v>
      </c>
      <c r="K151">
        <v>0</v>
      </c>
      <c r="L151" t="s">
        <v>47</v>
      </c>
      <c r="M151" t="s">
        <v>84</v>
      </c>
      <c r="N151" t="str">
        <f t="shared" si="2"/>
        <v/>
      </c>
      <c r="O151" t="s">
        <v>896</v>
      </c>
    </row>
    <row r="152" spans="1:15" x14ac:dyDescent="0.35">
      <c r="A152">
        <v>5229</v>
      </c>
      <c r="B152" t="s">
        <v>88</v>
      </c>
      <c r="C152" t="str">
        <f>IFERROR(VLOOKUP(B152,Branches!A:B, 2, FALSE), B152&amp;"(NOT FOUND)")</f>
        <v>Lekki Branch</v>
      </c>
      <c r="D152" s="1">
        <v>45294</v>
      </c>
      <c r="E152" t="s">
        <v>57</v>
      </c>
      <c r="F152" t="str">
        <f>IFERROR(VLOOKUP(E152, Staff!A:B, 2, FALSE), E152&amp;" (NOT FOUND)")</f>
        <v>Kelechi Umeh</v>
      </c>
      <c r="G152" t="s">
        <v>64</v>
      </c>
      <c r="H152" t="s">
        <v>77</v>
      </c>
      <c r="I152">
        <v>1</v>
      </c>
      <c r="J152">
        <v>10661.44</v>
      </c>
      <c r="K152" t="s">
        <v>894</v>
      </c>
      <c r="L152" t="s">
        <v>60</v>
      </c>
      <c r="M152" t="s">
        <v>84</v>
      </c>
      <c r="N152">
        <f t="shared" si="2"/>
        <v>10661.44</v>
      </c>
      <c r="O152" t="s">
        <v>895</v>
      </c>
    </row>
    <row r="153" spans="1:15" x14ac:dyDescent="0.35">
      <c r="A153">
        <v>5067</v>
      </c>
      <c r="B153" t="s">
        <v>102</v>
      </c>
      <c r="C153" t="str">
        <f>IFERROR(VLOOKUP(B153,Branches!A:B, 2, FALSE), B153&amp;"(NOT FOUND)")</f>
        <v>GRA Branch</v>
      </c>
      <c r="D153" s="1">
        <v>45361</v>
      </c>
      <c r="E153" t="s">
        <v>108</v>
      </c>
      <c r="F153" t="str">
        <f>IFERROR(VLOOKUP(E153, Staff!A:B, 2, FALSE), E153&amp;" (NOT FOUND)")</f>
        <v>Ronke Bakare</v>
      </c>
      <c r="G153" t="s">
        <v>16</v>
      </c>
      <c r="H153" t="s">
        <v>170</v>
      </c>
      <c r="I153">
        <v>1</v>
      </c>
      <c r="J153">
        <v>41534.61</v>
      </c>
      <c r="K153">
        <v>10</v>
      </c>
      <c r="L153" t="s">
        <v>20</v>
      </c>
      <c r="M153" t="s">
        <v>84</v>
      </c>
      <c r="N153">
        <f t="shared" si="2"/>
        <v>37381.148999999998</v>
      </c>
      <c r="O153" t="s">
        <v>895</v>
      </c>
    </row>
    <row r="154" spans="1:15" x14ac:dyDescent="0.35">
      <c r="A154">
        <v>5344</v>
      </c>
      <c r="B154" t="s">
        <v>102</v>
      </c>
      <c r="C154" t="str">
        <f>IFERROR(VLOOKUP(B154,Branches!A:B, 2, FALSE), B154&amp;"(NOT FOUND)")</f>
        <v>GRA Branch</v>
      </c>
      <c r="D154" s="1">
        <v>45352</v>
      </c>
      <c r="E154" t="s">
        <v>86</v>
      </c>
      <c r="F154" t="str">
        <f>IFERROR(VLOOKUP(E154, Staff!A:B, 2, FALSE), E154&amp;" (NOT FOUND)")</f>
        <v>Ekene Obi</v>
      </c>
      <c r="G154" t="s">
        <v>64</v>
      </c>
      <c r="H154" t="s">
        <v>116</v>
      </c>
      <c r="I154">
        <v>1</v>
      </c>
      <c r="J154">
        <v>19135.75</v>
      </c>
      <c r="K154">
        <v>10</v>
      </c>
      <c r="L154" t="s">
        <v>20</v>
      </c>
      <c r="M154" t="s">
        <v>38</v>
      </c>
      <c r="N154">
        <f t="shared" si="2"/>
        <v>17222.174999999999</v>
      </c>
      <c r="O154" t="s">
        <v>895</v>
      </c>
    </row>
    <row r="155" spans="1:15" x14ac:dyDescent="0.35">
      <c r="A155">
        <v>5276</v>
      </c>
      <c r="B155" t="s">
        <v>32</v>
      </c>
      <c r="C155" t="str">
        <f>IFERROR(VLOOKUP(B155,Branches!A:B, 2, FALSE), B155&amp;"(NOT FOUND)")</f>
        <v>Wuse Branch</v>
      </c>
      <c r="D155" s="1">
        <v>45374</v>
      </c>
      <c r="E155" t="s">
        <v>86</v>
      </c>
      <c r="F155" t="str">
        <f>IFERROR(VLOOKUP(E155, Staff!A:B, 2, FALSE), E155&amp;" (NOT FOUND)")</f>
        <v>Ekene Obi</v>
      </c>
      <c r="G155" t="s">
        <v>64</v>
      </c>
      <c r="H155" t="s">
        <v>77</v>
      </c>
      <c r="I155">
        <v>3</v>
      </c>
      <c r="J155" t="s">
        <v>894</v>
      </c>
      <c r="K155" t="s">
        <v>894</v>
      </c>
      <c r="L155" t="s">
        <v>20</v>
      </c>
      <c r="M155" t="s">
        <v>84</v>
      </c>
      <c r="N155" t="str">
        <f t="shared" si="2"/>
        <v/>
      </c>
      <c r="O155" t="s">
        <v>895</v>
      </c>
    </row>
    <row r="156" spans="1:15" x14ac:dyDescent="0.35">
      <c r="A156">
        <v>5332</v>
      </c>
      <c r="B156" t="s">
        <v>32</v>
      </c>
      <c r="C156" t="str">
        <f>IFERROR(VLOOKUP(B156,Branches!A:B, 2, FALSE), B156&amp;"(NOT FOUND)")</f>
        <v>Wuse Branch</v>
      </c>
      <c r="D156" s="1">
        <v>45509</v>
      </c>
      <c r="E156" t="s">
        <v>25</v>
      </c>
      <c r="F156" t="str">
        <f>IFERROR(VLOOKUP(E156, Staff!A:B, 2, FALSE), E156&amp;" (NOT FOUND)")</f>
        <v>Tobi Adewale</v>
      </c>
      <c r="G156" t="s">
        <v>64</v>
      </c>
      <c r="H156" t="s">
        <v>116</v>
      </c>
      <c r="I156">
        <v>5</v>
      </c>
      <c r="J156" t="s">
        <v>894</v>
      </c>
      <c r="K156">
        <v>15</v>
      </c>
      <c r="L156" t="s">
        <v>20</v>
      </c>
      <c r="M156" t="s">
        <v>38</v>
      </c>
      <c r="N156" t="str">
        <f t="shared" si="2"/>
        <v/>
      </c>
      <c r="O156" t="s">
        <v>896</v>
      </c>
    </row>
    <row r="157" spans="1:15" x14ac:dyDescent="0.35">
      <c r="A157">
        <v>5259</v>
      </c>
      <c r="B157" t="s">
        <v>74</v>
      </c>
      <c r="C157" t="str">
        <f>IFERROR(VLOOKUP(B157,Branches!A:B, 2, FALSE), B157&amp;"(NOT FOUND)")</f>
        <v>Bodija Branch</v>
      </c>
      <c r="D157" s="1">
        <v>45399</v>
      </c>
      <c r="E157" t="s">
        <v>86</v>
      </c>
      <c r="F157" t="str">
        <f>IFERROR(VLOOKUP(E157, Staff!A:B, 2, FALSE), E157&amp;" (NOT FOUND)")</f>
        <v>Ekene Obi</v>
      </c>
      <c r="G157" t="s">
        <v>16</v>
      </c>
      <c r="H157" t="s">
        <v>170</v>
      </c>
      <c r="I157">
        <v>1</v>
      </c>
      <c r="J157">
        <v>30888.02</v>
      </c>
      <c r="K157" t="s">
        <v>894</v>
      </c>
      <c r="L157" t="s">
        <v>60</v>
      </c>
      <c r="M157" t="s">
        <v>84</v>
      </c>
      <c r="N157">
        <f t="shared" si="2"/>
        <v>30888.02</v>
      </c>
      <c r="O157" t="s">
        <v>895</v>
      </c>
    </row>
    <row r="158" spans="1:15" x14ac:dyDescent="0.35">
      <c r="A158">
        <v>5105</v>
      </c>
      <c r="B158" t="s">
        <v>88</v>
      </c>
      <c r="C158" t="str">
        <f>IFERROR(VLOOKUP(B158,Branches!A:B, 2, FALSE), B158&amp;"(NOT FOUND)")</f>
        <v>Lekki Branch</v>
      </c>
      <c r="D158" s="1">
        <v>45299</v>
      </c>
      <c r="E158" t="s">
        <v>348</v>
      </c>
      <c r="F158" t="str">
        <f>IFERROR(VLOOKUP(E158, Staff!A:B, 2, FALSE), E158&amp;" (NOT FOUND)")</f>
        <v>SXXX (NOT FOUND)</v>
      </c>
      <c r="G158" t="s">
        <v>16</v>
      </c>
      <c r="H158" t="s">
        <v>17</v>
      </c>
      <c r="I158">
        <v>1</v>
      </c>
      <c r="J158" t="s">
        <v>894</v>
      </c>
      <c r="K158" t="s">
        <v>894</v>
      </c>
      <c r="L158" t="s">
        <v>60</v>
      </c>
      <c r="M158" t="s">
        <v>84</v>
      </c>
      <c r="N158" t="str">
        <f t="shared" si="2"/>
        <v/>
      </c>
      <c r="O158" t="s">
        <v>896</v>
      </c>
    </row>
    <row r="159" spans="1:15" x14ac:dyDescent="0.35">
      <c r="A159">
        <v>5188</v>
      </c>
      <c r="B159" t="s">
        <v>306</v>
      </c>
      <c r="C159" t="str">
        <f>IFERROR(VLOOKUP(B159,Branches!A:B, 2, FALSE), B159&amp;"(NOT FOUND)")</f>
        <v>BR12(NOT FOUND)</v>
      </c>
      <c r="D159" s="1">
        <v>45385</v>
      </c>
      <c r="E159" t="s">
        <v>15</v>
      </c>
      <c r="F159" t="str">
        <f>IFERROR(VLOOKUP(E159, Staff!A:B, 2, FALSE), E159&amp;" (NOT FOUND)")</f>
        <v>Ibrahim Sani</v>
      </c>
      <c r="G159" t="s">
        <v>35</v>
      </c>
      <c r="H159" t="s">
        <v>58</v>
      </c>
      <c r="I159">
        <v>1</v>
      </c>
      <c r="J159">
        <v>42194.29</v>
      </c>
      <c r="K159">
        <v>10</v>
      </c>
      <c r="L159" t="s">
        <v>20</v>
      </c>
      <c r="M159" t="s">
        <v>84</v>
      </c>
      <c r="N159">
        <f t="shared" si="2"/>
        <v>37974.861000000004</v>
      </c>
      <c r="O159" t="s">
        <v>896</v>
      </c>
    </row>
    <row r="160" spans="1:15" x14ac:dyDescent="0.35">
      <c r="A160">
        <v>5365</v>
      </c>
      <c r="B160" t="s">
        <v>129</v>
      </c>
      <c r="C160" t="str">
        <f>IFERROR(VLOOKUP(B160,Branches!A:B, 2, FALSE), B160&amp;"(NOT FOUND)")</f>
        <v>Sabon Gari Branch</v>
      </c>
      <c r="D160" s="1">
        <v>45470</v>
      </c>
      <c r="E160" t="s">
        <v>51</v>
      </c>
      <c r="F160" t="str">
        <f>IFERROR(VLOOKUP(E160, Staff!A:B, 2, FALSE), E160&amp;" (NOT FOUND)")</f>
        <v>Halima Yusuf</v>
      </c>
      <c r="G160" t="s">
        <v>26</v>
      </c>
      <c r="H160" t="s">
        <v>52</v>
      </c>
      <c r="I160">
        <v>5</v>
      </c>
      <c r="J160">
        <v>9827.9599999999991</v>
      </c>
      <c r="K160">
        <v>0</v>
      </c>
      <c r="L160" t="s">
        <v>20</v>
      </c>
      <c r="M160" t="s">
        <v>38</v>
      </c>
      <c r="N160">
        <f t="shared" si="2"/>
        <v>49139.799999999996</v>
      </c>
      <c r="O160" t="s">
        <v>895</v>
      </c>
    </row>
    <row r="161" spans="1:15" x14ac:dyDescent="0.35">
      <c r="A161">
        <v>5395</v>
      </c>
      <c r="B161" t="s">
        <v>129</v>
      </c>
      <c r="C161" t="str">
        <f>IFERROR(VLOOKUP(B161,Branches!A:B, 2, FALSE), B161&amp;"(NOT FOUND)")</f>
        <v>Sabon Gari Branch</v>
      </c>
      <c r="D161" s="1">
        <v>45359</v>
      </c>
      <c r="E161" t="s">
        <v>57</v>
      </c>
      <c r="F161" t="str">
        <f>IFERROR(VLOOKUP(E161, Staff!A:B, 2, FALSE), E161&amp;" (NOT FOUND)")</f>
        <v>Kelechi Umeh</v>
      </c>
      <c r="G161" t="s">
        <v>16</v>
      </c>
      <c r="H161" t="s">
        <v>17</v>
      </c>
      <c r="I161">
        <v>5</v>
      </c>
      <c r="J161" t="s">
        <v>894</v>
      </c>
      <c r="K161" t="s">
        <v>894</v>
      </c>
      <c r="L161" t="s">
        <v>47</v>
      </c>
      <c r="M161" t="s">
        <v>38</v>
      </c>
      <c r="N161" t="str">
        <f t="shared" si="2"/>
        <v/>
      </c>
      <c r="O161" t="s">
        <v>896</v>
      </c>
    </row>
    <row r="162" spans="1:15" x14ac:dyDescent="0.35">
      <c r="A162">
        <v>5273</v>
      </c>
      <c r="B162" t="s">
        <v>129</v>
      </c>
      <c r="C162" t="str">
        <f>IFERROR(VLOOKUP(B162,Branches!A:B, 2, FALSE), B162&amp;"(NOT FOUND)")</f>
        <v>Sabon Gari Branch</v>
      </c>
      <c r="D162" s="1">
        <v>45366</v>
      </c>
      <c r="E162" t="s">
        <v>76</v>
      </c>
      <c r="F162" t="str">
        <f>IFERROR(VLOOKUP(E162, Staff!A:B, 2, FALSE), E162&amp;" (NOT FOUND)")</f>
        <v>Chika Nwankwo</v>
      </c>
      <c r="G162" t="s">
        <v>16</v>
      </c>
      <c r="H162" t="s">
        <v>17</v>
      </c>
      <c r="I162">
        <v>1</v>
      </c>
      <c r="J162" t="s">
        <v>894</v>
      </c>
      <c r="K162" t="s">
        <v>894</v>
      </c>
      <c r="L162" t="s">
        <v>20</v>
      </c>
      <c r="M162" t="s">
        <v>84</v>
      </c>
      <c r="N162" t="str">
        <f t="shared" si="2"/>
        <v/>
      </c>
      <c r="O162" t="s">
        <v>895</v>
      </c>
    </row>
    <row r="163" spans="1:15" x14ac:dyDescent="0.35">
      <c r="A163">
        <v>5022</v>
      </c>
      <c r="B163" t="s">
        <v>74</v>
      </c>
      <c r="C163" t="str">
        <f>IFERROR(VLOOKUP(B163,Branches!A:B, 2, FALSE), B163&amp;"(NOT FOUND)")</f>
        <v>Bodija Branch</v>
      </c>
      <c r="D163" s="1">
        <v>45556</v>
      </c>
      <c r="E163" t="s">
        <v>86</v>
      </c>
      <c r="F163" t="str">
        <f>IFERROR(VLOOKUP(E163, Staff!A:B, 2, FALSE), E163&amp;" (NOT FOUND)")</f>
        <v>Ekene Obi</v>
      </c>
      <c r="G163" t="s">
        <v>64</v>
      </c>
      <c r="H163" t="s">
        <v>141</v>
      </c>
      <c r="I163">
        <v>3</v>
      </c>
      <c r="J163" t="s">
        <v>894</v>
      </c>
      <c r="K163" t="s">
        <v>894</v>
      </c>
      <c r="L163" t="s">
        <v>20</v>
      </c>
      <c r="M163" t="s">
        <v>84</v>
      </c>
      <c r="N163" t="str">
        <f t="shared" si="2"/>
        <v/>
      </c>
      <c r="O163" t="s">
        <v>895</v>
      </c>
    </row>
    <row r="164" spans="1:15" x14ac:dyDescent="0.35">
      <c r="A164">
        <v>5130</v>
      </c>
      <c r="B164" t="s">
        <v>88</v>
      </c>
      <c r="C164" t="str">
        <f>IFERROR(VLOOKUP(B164,Branches!A:B, 2, FALSE), B164&amp;"(NOT FOUND)")</f>
        <v>Lekki Branch</v>
      </c>
      <c r="D164" s="1">
        <v>45376</v>
      </c>
      <c r="E164" t="s">
        <v>34</v>
      </c>
      <c r="F164" t="str">
        <f>IFERROR(VLOOKUP(E164, Staff!A:B, 2, FALSE), E164&amp;" (NOT FOUND)")</f>
        <v>Funke Ajayi</v>
      </c>
      <c r="G164" t="s">
        <v>16</v>
      </c>
      <c r="H164" t="s">
        <v>170</v>
      </c>
      <c r="I164">
        <v>2</v>
      </c>
      <c r="J164">
        <v>24601.1</v>
      </c>
      <c r="K164">
        <v>5</v>
      </c>
      <c r="L164" t="s">
        <v>60</v>
      </c>
      <c r="M164" t="s">
        <v>84</v>
      </c>
      <c r="N164">
        <f t="shared" si="2"/>
        <v>46742.09</v>
      </c>
      <c r="O164" t="s">
        <v>895</v>
      </c>
    </row>
    <row r="165" spans="1:15" x14ac:dyDescent="0.35">
      <c r="A165">
        <v>5136</v>
      </c>
      <c r="B165" t="s">
        <v>74</v>
      </c>
      <c r="C165" t="str">
        <f>IFERROR(VLOOKUP(B165,Branches!A:B, 2, FALSE), B165&amp;"(NOT FOUND)")</f>
        <v>Bodija Branch</v>
      </c>
      <c r="D165" s="1">
        <v>45303</v>
      </c>
      <c r="E165" t="s">
        <v>57</v>
      </c>
      <c r="F165" t="str">
        <f>IFERROR(VLOOKUP(E165, Staff!A:B, 2, FALSE), E165&amp;" (NOT FOUND)")</f>
        <v>Kelechi Umeh</v>
      </c>
      <c r="G165" t="s">
        <v>16</v>
      </c>
      <c r="H165" t="s">
        <v>42</v>
      </c>
      <c r="I165">
        <v>2</v>
      </c>
      <c r="J165">
        <v>14915.89</v>
      </c>
      <c r="K165">
        <v>0</v>
      </c>
      <c r="L165" t="s">
        <v>47</v>
      </c>
      <c r="M165" t="s">
        <v>38</v>
      </c>
      <c r="N165">
        <f t="shared" si="2"/>
        <v>29831.78</v>
      </c>
      <c r="O165" t="s">
        <v>896</v>
      </c>
    </row>
    <row r="166" spans="1:15" x14ac:dyDescent="0.35">
      <c r="A166">
        <v>5412</v>
      </c>
      <c r="B166" t="s">
        <v>32</v>
      </c>
      <c r="C166" t="str">
        <f>IFERROR(VLOOKUP(B166,Branches!A:B, 2, FALSE), B166&amp;"(NOT FOUND)")</f>
        <v>Wuse Branch</v>
      </c>
      <c r="D166" s="1">
        <v>45314</v>
      </c>
      <c r="E166" t="s">
        <v>57</v>
      </c>
      <c r="F166" t="str">
        <f>IFERROR(VLOOKUP(E166, Staff!A:B, 2, FALSE), E166&amp;" (NOT FOUND)")</f>
        <v>Kelechi Umeh</v>
      </c>
      <c r="G166" t="s">
        <v>35</v>
      </c>
      <c r="H166" t="s">
        <v>136</v>
      </c>
      <c r="I166">
        <v>3</v>
      </c>
      <c r="J166">
        <v>16585.37</v>
      </c>
      <c r="K166" t="s">
        <v>894</v>
      </c>
      <c r="L166" t="s">
        <v>60</v>
      </c>
      <c r="M166" t="s">
        <v>38</v>
      </c>
      <c r="N166">
        <f t="shared" si="2"/>
        <v>49756.11</v>
      </c>
      <c r="O166" t="s">
        <v>896</v>
      </c>
    </row>
    <row r="167" spans="1:15" x14ac:dyDescent="0.35">
      <c r="A167">
        <v>5452</v>
      </c>
      <c r="B167" t="s">
        <v>32</v>
      </c>
      <c r="C167" t="str">
        <f>IFERROR(VLOOKUP(B167,Branches!A:B, 2, FALSE), B167&amp;"(NOT FOUND)")</f>
        <v>Wuse Branch</v>
      </c>
      <c r="D167" s="1">
        <v>45541</v>
      </c>
      <c r="E167" t="s">
        <v>57</v>
      </c>
      <c r="F167" t="str">
        <f>IFERROR(VLOOKUP(E167, Staff!A:B, 2, FALSE), E167&amp;" (NOT FOUND)")</f>
        <v>Kelechi Umeh</v>
      </c>
      <c r="G167" t="s">
        <v>26</v>
      </c>
      <c r="H167" t="s">
        <v>46</v>
      </c>
      <c r="J167">
        <v>37729.050000000003</v>
      </c>
      <c r="K167">
        <v>0</v>
      </c>
      <c r="L167" t="s">
        <v>20</v>
      </c>
      <c r="M167" t="s">
        <v>84</v>
      </c>
      <c r="N167" t="str">
        <f t="shared" si="2"/>
        <v/>
      </c>
      <c r="O167" t="s">
        <v>894</v>
      </c>
    </row>
    <row r="168" spans="1:15" x14ac:dyDescent="0.35">
      <c r="A168">
        <v>5316</v>
      </c>
      <c r="B168" t="s">
        <v>32</v>
      </c>
      <c r="C168" t="str">
        <f>IFERROR(VLOOKUP(B168,Branches!A:B, 2, FALSE), B168&amp;"(NOT FOUND)")</f>
        <v>Wuse Branch</v>
      </c>
      <c r="D168" s="1">
        <v>45384</v>
      </c>
      <c r="E168" t="s">
        <v>34</v>
      </c>
      <c r="F168" t="str">
        <f>IFERROR(VLOOKUP(E168, Staff!A:B, 2, FALSE), E168&amp;" (NOT FOUND)")</f>
        <v>Funke Ajayi</v>
      </c>
      <c r="G168" t="s">
        <v>16</v>
      </c>
      <c r="H168" t="s">
        <v>170</v>
      </c>
      <c r="I168">
        <v>1</v>
      </c>
      <c r="J168">
        <v>2236.04</v>
      </c>
      <c r="K168">
        <v>10</v>
      </c>
      <c r="L168" t="s">
        <v>60</v>
      </c>
      <c r="M168" t="s">
        <v>38</v>
      </c>
      <c r="N168">
        <f t="shared" si="2"/>
        <v>2012.4359999999999</v>
      </c>
      <c r="O168" t="s">
        <v>896</v>
      </c>
    </row>
    <row r="169" spans="1:15" x14ac:dyDescent="0.35">
      <c r="A169">
        <v>5123</v>
      </c>
      <c r="B169" t="s">
        <v>102</v>
      </c>
      <c r="C169" t="str">
        <f>IFERROR(VLOOKUP(B169,Branches!A:B, 2, FALSE), B169&amp;"(NOT FOUND)")</f>
        <v>GRA Branch</v>
      </c>
      <c r="D169" s="1">
        <v>45300</v>
      </c>
      <c r="E169" t="s">
        <v>86</v>
      </c>
      <c r="F169" t="str">
        <f>IFERROR(VLOOKUP(E169, Staff!A:B, 2, FALSE), E169&amp;" (NOT FOUND)")</f>
        <v>Ekene Obi</v>
      </c>
      <c r="G169" t="s">
        <v>35</v>
      </c>
      <c r="H169" t="s">
        <v>155</v>
      </c>
      <c r="I169">
        <v>4</v>
      </c>
      <c r="J169" t="s">
        <v>894</v>
      </c>
      <c r="K169" t="s">
        <v>894</v>
      </c>
      <c r="L169" t="s">
        <v>47</v>
      </c>
      <c r="M169" t="s">
        <v>38</v>
      </c>
      <c r="N169" t="str">
        <f t="shared" si="2"/>
        <v/>
      </c>
      <c r="O169" t="s">
        <v>895</v>
      </c>
    </row>
    <row r="170" spans="1:15" x14ac:dyDescent="0.35">
      <c r="A170">
        <v>5387</v>
      </c>
      <c r="B170" t="s">
        <v>102</v>
      </c>
      <c r="C170" t="str">
        <f>IFERROR(VLOOKUP(B170,Branches!A:B, 2, FALSE), B170&amp;"(NOT FOUND)")</f>
        <v>GRA Branch</v>
      </c>
      <c r="D170" s="1">
        <v>45340</v>
      </c>
      <c r="E170" t="s">
        <v>86</v>
      </c>
      <c r="F170" t="str">
        <f>IFERROR(VLOOKUP(E170, Staff!A:B, 2, FALSE), E170&amp;" (NOT FOUND)")</f>
        <v>Ekene Obi</v>
      </c>
      <c r="G170" t="s">
        <v>26</v>
      </c>
      <c r="H170" t="s">
        <v>167</v>
      </c>
      <c r="I170">
        <v>2</v>
      </c>
      <c r="J170" t="s">
        <v>894</v>
      </c>
      <c r="K170" t="s">
        <v>894</v>
      </c>
      <c r="L170" t="s">
        <v>60</v>
      </c>
      <c r="M170" t="s">
        <v>84</v>
      </c>
      <c r="N170" t="str">
        <f t="shared" si="2"/>
        <v/>
      </c>
      <c r="O170" t="s">
        <v>896</v>
      </c>
    </row>
    <row r="171" spans="1:15" x14ac:dyDescent="0.35">
      <c r="A171">
        <v>5481</v>
      </c>
      <c r="B171" t="s">
        <v>129</v>
      </c>
      <c r="C171" t="str">
        <f>IFERROR(VLOOKUP(B171,Branches!A:B, 2, FALSE), B171&amp;"(NOT FOUND)")</f>
        <v>Sabon Gari Branch</v>
      </c>
      <c r="D171" s="1">
        <v>45415</v>
      </c>
      <c r="E171" t="s">
        <v>51</v>
      </c>
      <c r="F171" t="str">
        <f>IFERROR(VLOOKUP(E171, Staff!A:B, 2, FALSE), E171&amp;" (NOT FOUND)")</f>
        <v>Halima Yusuf</v>
      </c>
      <c r="G171" t="s">
        <v>35</v>
      </c>
      <c r="H171" t="s">
        <v>58</v>
      </c>
      <c r="I171">
        <v>2</v>
      </c>
      <c r="J171">
        <v>28990.89</v>
      </c>
      <c r="K171">
        <v>15</v>
      </c>
      <c r="L171" t="s">
        <v>20</v>
      </c>
      <c r="M171" t="s">
        <v>38</v>
      </c>
      <c r="N171">
        <f t="shared" si="2"/>
        <v>49284.512999999999</v>
      </c>
      <c r="O171" t="s">
        <v>896</v>
      </c>
    </row>
    <row r="172" spans="1:15" x14ac:dyDescent="0.35">
      <c r="A172">
        <v>5071</v>
      </c>
      <c r="B172" t="s">
        <v>88</v>
      </c>
      <c r="C172" t="str">
        <f>IFERROR(VLOOKUP(B172,Branches!A:B, 2, FALSE), B172&amp;"(NOT FOUND)")</f>
        <v>Lekki Branch</v>
      </c>
      <c r="D172" s="1">
        <v>45405</v>
      </c>
      <c r="E172" t="s">
        <v>76</v>
      </c>
      <c r="F172" t="str">
        <f>IFERROR(VLOOKUP(E172, Staff!A:B, 2, FALSE), E172&amp;" (NOT FOUND)")</f>
        <v>Chika Nwankwo</v>
      </c>
      <c r="G172" t="s">
        <v>64</v>
      </c>
      <c r="H172" t="s">
        <v>116</v>
      </c>
      <c r="J172">
        <v>43485.1</v>
      </c>
      <c r="K172" t="s">
        <v>894</v>
      </c>
      <c r="L172" t="s">
        <v>20</v>
      </c>
      <c r="M172" t="s">
        <v>84</v>
      </c>
      <c r="N172" t="str">
        <f t="shared" si="2"/>
        <v/>
      </c>
      <c r="O172" t="s">
        <v>896</v>
      </c>
    </row>
    <row r="173" spans="1:15" x14ac:dyDescent="0.35">
      <c r="A173">
        <v>5329</v>
      </c>
      <c r="B173" t="s">
        <v>88</v>
      </c>
      <c r="C173" t="str">
        <f>IFERROR(VLOOKUP(B173,Branches!A:B, 2, FALSE), B173&amp;"(NOT FOUND)")</f>
        <v>Lekki Branch</v>
      </c>
      <c r="D173" s="1">
        <v>45445</v>
      </c>
      <c r="E173" t="s">
        <v>15</v>
      </c>
      <c r="F173" t="str">
        <f>IFERROR(VLOOKUP(E173, Staff!A:B, 2, FALSE), E173&amp;" (NOT FOUND)")</f>
        <v>Ibrahim Sani</v>
      </c>
      <c r="G173" t="s">
        <v>64</v>
      </c>
      <c r="H173" t="s">
        <v>77</v>
      </c>
      <c r="J173">
        <v>9301.61</v>
      </c>
      <c r="K173">
        <v>0</v>
      </c>
      <c r="L173" t="s">
        <v>47</v>
      </c>
      <c r="M173" t="s">
        <v>84</v>
      </c>
      <c r="N173" t="str">
        <f t="shared" si="2"/>
        <v/>
      </c>
      <c r="O173" t="s">
        <v>896</v>
      </c>
    </row>
    <row r="174" spans="1:15" x14ac:dyDescent="0.35">
      <c r="A174">
        <v>5187</v>
      </c>
      <c r="B174" t="s">
        <v>32</v>
      </c>
      <c r="C174" t="str">
        <f>IFERROR(VLOOKUP(B174,Branches!A:B, 2, FALSE), B174&amp;"(NOT FOUND)")</f>
        <v>Wuse Branch</v>
      </c>
      <c r="D174" s="1">
        <v>45359</v>
      </c>
      <c r="E174" t="s">
        <v>108</v>
      </c>
      <c r="F174" t="str">
        <f>IFERROR(VLOOKUP(E174, Staff!A:B, 2, FALSE), E174&amp;" (NOT FOUND)")</f>
        <v>Ronke Bakare</v>
      </c>
      <c r="G174" t="s">
        <v>16</v>
      </c>
      <c r="H174" t="s">
        <v>42</v>
      </c>
      <c r="I174">
        <v>5</v>
      </c>
      <c r="J174">
        <v>43993.63</v>
      </c>
      <c r="K174">
        <v>0</v>
      </c>
      <c r="L174" t="s">
        <v>20</v>
      </c>
      <c r="M174" t="s">
        <v>84</v>
      </c>
      <c r="N174">
        <f t="shared" si="2"/>
        <v>219968.15</v>
      </c>
      <c r="O174" t="s">
        <v>895</v>
      </c>
    </row>
    <row r="175" spans="1:15" x14ac:dyDescent="0.35">
      <c r="A175">
        <v>5206</v>
      </c>
      <c r="B175" t="s">
        <v>129</v>
      </c>
      <c r="C175" t="str">
        <f>IFERROR(VLOOKUP(B175,Branches!A:B, 2, FALSE), B175&amp;"(NOT FOUND)")</f>
        <v>Sabon Gari Branch</v>
      </c>
      <c r="D175" s="1">
        <v>45328</v>
      </c>
      <c r="E175" t="s">
        <v>15</v>
      </c>
      <c r="F175" t="str">
        <f>IFERROR(VLOOKUP(E175, Staff!A:B, 2, FALSE), E175&amp;" (NOT FOUND)")</f>
        <v>Ibrahim Sani</v>
      </c>
      <c r="G175" t="s">
        <v>35</v>
      </c>
      <c r="H175" t="s">
        <v>99</v>
      </c>
      <c r="I175">
        <v>2</v>
      </c>
      <c r="J175">
        <v>41654.36</v>
      </c>
      <c r="K175">
        <v>10</v>
      </c>
      <c r="L175" t="s">
        <v>47</v>
      </c>
      <c r="M175" t="s">
        <v>38</v>
      </c>
      <c r="N175">
        <f t="shared" si="2"/>
        <v>74977.847999999998</v>
      </c>
      <c r="O175" t="s">
        <v>894</v>
      </c>
    </row>
    <row r="176" spans="1:15" x14ac:dyDescent="0.35">
      <c r="A176">
        <v>5113</v>
      </c>
      <c r="B176" t="s">
        <v>88</v>
      </c>
      <c r="C176" t="str">
        <f>IFERROR(VLOOKUP(B176,Branches!A:B, 2, FALSE), B176&amp;"(NOT FOUND)")</f>
        <v>Lekki Branch</v>
      </c>
      <c r="D176" s="1">
        <v>45388</v>
      </c>
      <c r="E176" t="s">
        <v>25</v>
      </c>
      <c r="F176" t="str">
        <f>IFERROR(VLOOKUP(E176, Staff!A:B, 2, FALSE), E176&amp;" (NOT FOUND)")</f>
        <v>Tobi Adewale</v>
      </c>
      <c r="G176" t="s">
        <v>64</v>
      </c>
      <c r="H176" t="s">
        <v>133</v>
      </c>
      <c r="I176">
        <v>5</v>
      </c>
      <c r="J176">
        <v>23686.26</v>
      </c>
      <c r="K176">
        <v>15</v>
      </c>
      <c r="L176" t="s">
        <v>20</v>
      </c>
      <c r="M176" t="s">
        <v>84</v>
      </c>
      <c r="N176">
        <f t="shared" si="2"/>
        <v>100666.60499999998</v>
      </c>
      <c r="O176" t="s">
        <v>896</v>
      </c>
    </row>
    <row r="177" spans="1:15" x14ac:dyDescent="0.35">
      <c r="A177">
        <v>5204</v>
      </c>
      <c r="B177" t="s">
        <v>74</v>
      </c>
      <c r="C177" t="str">
        <f>IFERROR(VLOOKUP(B177,Branches!A:B, 2, FALSE), B177&amp;"(NOT FOUND)")</f>
        <v>Bodija Branch</v>
      </c>
      <c r="D177" s="1">
        <v>45422</v>
      </c>
      <c r="E177" t="s">
        <v>34</v>
      </c>
      <c r="F177" t="str">
        <f>IFERROR(VLOOKUP(E177, Staff!A:B, 2, FALSE), E177&amp;" (NOT FOUND)")</f>
        <v>Funke Ajayi</v>
      </c>
      <c r="G177" t="s">
        <v>16</v>
      </c>
      <c r="H177" t="s">
        <v>82</v>
      </c>
      <c r="I177">
        <v>5</v>
      </c>
      <c r="J177">
        <v>12055.19</v>
      </c>
      <c r="K177" t="s">
        <v>894</v>
      </c>
      <c r="L177" t="s">
        <v>20</v>
      </c>
      <c r="M177" t="s">
        <v>38</v>
      </c>
      <c r="N177">
        <f t="shared" si="2"/>
        <v>60275.950000000004</v>
      </c>
      <c r="O177" t="s">
        <v>895</v>
      </c>
    </row>
    <row r="178" spans="1:15" x14ac:dyDescent="0.35">
      <c r="A178">
        <v>5475</v>
      </c>
      <c r="B178" t="s">
        <v>88</v>
      </c>
      <c r="C178" t="str">
        <f>IFERROR(VLOOKUP(B178,Branches!A:B, 2, FALSE), B178&amp;"(NOT FOUND)")</f>
        <v>Lekki Branch</v>
      </c>
      <c r="D178" s="1">
        <v>45368</v>
      </c>
      <c r="E178" t="s">
        <v>76</v>
      </c>
      <c r="F178" t="str">
        <f>IFERROR(VLOOKUP(E178, Staff!A:B, 2, FALSE), E178&amp;" (NOT FOUND)")</f>
        <v>Chika Nwankwo</v>
      </c>
      <c r="G178" t="s">
        <v>35</v>
      </c>
      <c r="H178" t="s">
        <v>155</v>
      </c>
      <c r="I178">
        <v>5</v>
      </c>
      <c r="J178" t="s">
        <v>894</v>
      </c>
      <c r="K178">
        <v>15</v>
      </c>
      <c r="L178" t="s">
        <v>47</v>
      </c>
      <c r="M178" t="s">
        <v>38</v>
      </c>
      <c r="N178" t="str">
        <f t="shared" si="2"/>
        <v/>
      </c>
      <c r="O178" t="s">
        <v>895</v>
      </c>
    </row>
    <row r="179" spans="1:15" x14ac:dyDescent="0.35">
      <c r="A179">
        <v>5406</v>
      </c>
      <c r="B179" t="s">
        <v>129</v>
      </c>
      <c r="C179" t="str">
        <f>IFERROR(VLOOKUP(B179,Branches!A:B, 2, FALSE), B179&amp;"(NOT FOUND)")</f>
        <v>Sabon Gari Branch</v>
      </c>
      <c r="D179" s="1">
        <v>45467</v>
      </c>
      <c r="E179" t="s">
        <v>34</v>
      </c>
      <c r="F179" t="str">
        <f>IFERROR(VLOOKUP(E179, Staff!A:B, 2, FALSE), E179&amp;" (NOT FOUND)")</f>
        <v>Funke Ajayi</v>
      </c>
      <c r="G179" t="s">
        <v>26</v>
      </c>
      <c r="H179" t="s">
        <v>167</v>
      </c>
      <c r="J179" t="s">
        <v>894</v>
      </c>
      <c r="K179">
        <v>5</v>
      </c>
      <c r="L179" t="s">
        <v>20</v>
      </c>
      <c r="M179" t="s">
        <v>84</v>
      </c>
      <c r="N179" t="str">
        <f t="shared" si="2"/>
        <v/>
      </c>
      <c r="O179" t="s">
        <v>895</v>
      </c>
    </row>
    <row r="180" spans="1:15" x14ac:dyDescent="0.35">
      <c r="A180">
        <v>5198</v>
      </c>
      <c r="B180" t="s">
        <v>74</v>
      </c>
      <c r="C180" t="str">
        <f>IFERROR(VLOOKUP(B180,Branches!A:B, 2, FALSE), B180&amp;"(NOT FOUND)")</f>
        <v>Bodija Branch</v>
      </c>
      <c r="D180" s="1">
        <v>45485</v>
      </c>
      <c r="E180" t="s">
        <v>51</v>
      </c>
      <c r="F180" t="str">
        <f>IFERROR(VLOOKUP(E180, Staff!A:B, 2, FALSE), E180&amp;" (NOT FOUND)")</f>
        <v>Halima Yusuf</v>
      </c>
      <c r="G180" t="s">
        <v>26</v>
      </c>
      <c r="H180" t="s">
        <v>27</v>
      </c>
      <c r="I180">
        <v>2</v>
      </c>
      <c r="J180">
        <v>40465.33</v>
      </c>
      <c r="K180" t="s">
        <v>894</v>
      </c>
      <c r="L180" t="s">
        <v>20</v>
      </c>
      <c r="M180" t="s">
        <v>38</v>
      </c>
      <c r="N180">
        <f t="shared" si="2"/>
        <v>80930.66</v>
      </c>
      <c r="O180" t="s">
        <v>895</v>
      </c>
    </row>
    <row r="181" spans="1:15" x14ac:dyDescent="0.35">
      <c r="A181">
        <v>5486</v>
      </c>
      <c r="B181" t="s">
        <v>102</v>
      </c>
      <c r="C181" t="str">
        <f>IFERROR(VLOOKUP(B181,Branches!A:B, 2, FALSE), B181&amp;"(NOT FOUND)")</f>
        <v>GRA Branch</v>
      </c>
      <c r="D181" s="1">
        <v>45476</v>
      </c>
      <c r="E181" t="s">
        <v>57</v>
      </c>
      <c r="F181" t="str">
        <f>IFERROR(VLOOKUP(E181, Staff!A:B, 2, FALSE), E181&amp;" (NOT FOUND)")</f>
        <v>Kelechi Umeh</v>
      </c>
      <c r="G181" t="s">
        <v>26</v>
      </c>
      <c r="H181" t="s">
        <v>112</v>
      </c>
      <c r="I181">
        <v>1</v>
      </c>
      <c r="J181">
        <v>7136.88</v>
      </c>
      <c r="K181">
        <v>5</v>
      </c>
      <c r="L181" t="s">
        <v>60</v>
      </c>
      <c r="M181" t="s">
        <v>38</v>
      </c>
      <c r="N181">
        <f t="shared" si="2"/>
        <v>6780.0360000000001</v>
      </c>
      <c r="O181" t="s">
        <v>895</v>
      </c>
    </row>
    <row r="182" spans="1:15" x14ac:dyDescent="0.35">
      <c r="A182">
        <v>5100</v>
      </c>
      <c r="B182" t="s">
        <v>88</v>
      </c>
      <c r="C182" t="str">
        <f>IFERROR(VLOOKUP(B182,Branches!A:B, 2, FALSE), B182&amp;"(NOT FOUND)")</f>
        <v>Lekki Branch</v>
      </c>
      <c r="D182" s="1">
        <v>45479</v>
      </c>
      <c r="E182" t="s">
        <v>15</v>
      </c>
      <c r="F182" t="str">
        <f>IFERROR(VLOOKUP(E182, Staff!A:B, 2, FALSE), E182&amp;" (NOT FOUND)")</f>
        <v>Ibrahim Sani</v>
      </c>
      <c r="G182" t="s">
        <v>16</v>
      </c>
      <c r="H182" t="s">
        <v>82</v>
      </c>
      <c r="I182">
        <v>2</v>
      </c>
      <c r="J182">
        <v>2008.42</v>
      </c>
      <c r="K182">
        <v>0</v>
      </c>
      <c r="L182" t="s">
        <v>20</v>
      </c>
      <c r="M182" t="s">
        <v>84</v>
      </c>
      <c r="N182">
        <f t="shared" si="2"/>
        <v>4016.84</v>
      </c>
      <c r="O182" t="s">
        <v>895</v>
      </c>
    </row>
    <row r="183" spans="1:15" x14ac:dyDescent="0.35">
      <c r="A183">
        <v>5092</v>
      </c>
      <c r="B183" t="s">
        <v>129</v>
      </c>
      <c r="C183" t="str">
        <f>IFERROR(VLOOKUP(B183,Branches!A:B, 2, FALSE), B183&amp;"(NOT FOUND)")</f>
        <v>Sabon Gari Branch</v>
      </c>
      <c r="D183" s="1">
        <v>45474</v>
      </c>
      <c r="E183" t="s">
        <v>98</v>
      </c>
      <c r="F183" t="str">
        <f>IFERROR(VLOOKUP(E183, Staff!A:B, 2, FALSE), E183&amp;" (NOT FOUND)")</f>
        <v>S100 (NOT FOUND)</v>
      </c>
      <c r="G183" t="s">
        <v>64</v>
      </c>
      <c r="H183" t="s">
        <v>77</v>
      </c>
      <c r="I183">
        <v>4</v>
      </c>
      <c r="J183" t="s">
        <v>894</v>
      </c>
      <c r="K183" t="s">
        <v>894</v>
      </c>
      <c r="L183" t="s">
        <v>20</v>
      </c>
      <c r="M183" t="s">
        <v>84</v>
      </c>
      <c r="N183" t="str">
        <f t="shared" si="2"/>
        <v/>
      </c>
      <c r="O183" t="s">
        <v>896</v>
      </c>
    </row>
    <row r="184" spans="1:15" x14ac:dyDescent="0.35">
      <c r="A184">
        <v>5427</v>
      </c>
      <c r="B184" t="s">
        <v>102</v>
      </c>
      <c r="C184" t="str">
        <f>IFERROR(VLOOKUP(B184,Branches!A:B, 2, FALSE), B184&amp;"(NOT FOUND)")</f>
        <v>GRA Branch</v>
      </c>
      <c r="D184" s="1">
        <v>45430</v>
      </c>
      <c r="E184" t="s">
        <v>57</v>
      </c>
      <c r="F184" t="str">
        <f>IFERROR(VLOOKUP(E184, Staff!A:B, 2, FALSE), E184&amp;" (NOT FOUND)")</f>
        <v>Kelechi Umeh</v>
      </c>
      <c r="G184" t="s">
        <v>64</v>
      </c>
      <c r="H184" t="s">
        <v>116</v>
      </c>
      <c r="I184">
        <v>2</v>
      </c>
      <c r="J184">
        <v>21028.16</v>
      </c>
      <c r="K184">
        <v>5</v>
      </c>
      <c r="L184" t="s">
        <v>20</v>
      </c>
      <c r="M184" t="s">
        <v>38</v>
      </c>
      <c r="N184">
        <f t="shared" si="2"/>
        <v>39953.504000000001</v>
      </c>
      <c r="O184" t="s">
        <v>895</v>
      </c>
    </row>
    <row r="185" spans="1:15" x14ac:dyDescent="0.35">
      <c r="A185">
        <v>5237</v>
      </c>
      <c r="B185" t="s">
        <v>129</v>
      </c>
      <c r="C185" t="str">
        <f>IFERROR(VLOOKUP(B185,Branches!A:B, 2, FALSE), B185&amp;"(NOT FOUND)")</f>
        <v>Sabon Gari Branch</v>
      </c>
      <c r="D185" s="1">
        <v>45444</v>
      </c>
      <c r="E185" t="s">
        <v>15</v>
      </c>
      <c r="F185" t="str">
        <f>IFERROR(VLOOKUP(E185, Staff!A:B, 2, FALSE), E185&amp;" (NOT FOUND)")</f>
        <v>Ibrahim Sani</v>
      </c>
      <c r="G185" t="s">
        <v>35</v>
      </c>
      <c r="H185" t="s">
        <v>58</v>
      </c>
      <c r="I185">
        <v>1</v>
      </c>
      <c r="J185">
        <v>7715.66</v>
      </c>
      <c r="K185" t="s">
        <v>894</v>
      </c>
      <c r="L185" t="s">
        <v>47</v>
      </c>
      <c r="M185" t="s">
        <v>38</v>
      </c>
      <c r="N185">
        <f t="shared" si="2"/>
        <v>7715.66</v>
      </c>
      <c r="O185" t="s">
        <v>896</v>
      </c>
    </row>
    <row r="186" spans="1:15" x14ac:dyDescent="0.35">
      <c r="A186">
        <v>5234</v>
      </c>
      <c r="B186" t="s">
        <v>129</v>
      </c>
      <c r="C186" t="str">
        <f>IFERROR(VLOOKUP(B186,Branches!A:B, 2, FALSE), B186&amp;"(NOT FOUND)")</f>
        <v>Sabon Gari Branch</v>
      </c>
      <c r="D186" s="1">
        <v>45294</v>
      </c>
      <c r="E186" t="s">
        <v>15</v>
      </c>
      <c r="F186" t="str">
        <f>IFERROR(VLOOKUP(E186, Staff!A:B, 2, FALSE), E186&amp;" (NOT FOUND)")</f>
        <v>Ibrahim Sani</v>
      </c>
      <c r="G186" t="s">
        <v>64</v>
      </c>
      <c r="H186" t="s">
        <v>77</v>
      </c>
      <c r="J186" t="s">
        <v>894</v>
      </c>
      <c r="K186">
        <v>0</v>
      </c>
      <c r="L186" t="s">
        <v>20</v>
      </c>
      <c r="M186" t="s">
        <v>38</v>
      </c>
      <c r="N186" t="str">
        <f t="shared" si="2"/>
        <v/>
      </c>
      <c r="O186" t="s">
        <v>894</v>
      </c>
    </row>
    <row r="187" spans="1:15" x14ac:dyDescent="0.35">
      <c r="A187">
        <v>5324</v>
      </c>
      <c r="B187" t="s">
        <v>74</v>
      </c>
      <c r="C187" t="str">
        <f>IFERROR(VLOOKUP(B187,Branches!A:B, 2, FALSE), B187&amp;"(NOT FOUND)")</f>
        <v>Bodija Branch</v>
      </c>
      <c r="D187" s="1">
        <v>45532</v>
      </c>
      <c r="E187" t="s">
        <v>57</v>
      </c>
      <c r="F187" t="str">
        <f>IFERROR(VLOOKUP(E187, Staff!A:B, 2, FALSE), E187&amp;" (NOT FOUND)")</f>
        <v>Kelechi Umeh</v>
      </c>
      <c r="G187" t="s">
        <v>35</v>
      </c>
      <c r="H187" t="s">
        <v>36</v>
      </c>
      <c r="I187">
        <v>1</v>
      </c>
      <c r="J187" t="s">
        <v>894</v>
      </c>
      <c r="K187">
        <v>10</v>
      </c>
      <c r="L187" t="s">
        <v>20</v>
      </c>
      <c r="M187" t="s">
        <v>38</v>
      </c>
      <c r="N187" t="str">
        <f t="shared" si="2"/>
        <v/>
      </c>
      <c r="O187" t="s">
        <v>895</v>
      </c>
    </row>
    <row r="188" spans="1:15" x14ac:dyDescent="0.35">
      <c r="A188">
        <v>5119</v>
      </c>
      <c r="B188" t="s">
        <v>129</v>
      </c>
      <c r="C188" t="str">
        <f>IFERROR(VLOOKUP(B188,Branches!A:B, 2, FALSE), B188&amp;"(NOT FOUND)")</f>
        <v>Sabon Gari Branch</v>
      </c>
      <c r="D188" s="1">
        <v>45391</v>
      </c>
      <c r="E188" t="s">
        <v>15</v>
      </c>
      <c r="F188" t="str">
        <f>IFERROR(VLOOKUP(E188, Staff!A:B, 2, FALSE), E188&amp;" (NOT FOUND)")</f>
        <v>Ibrahim Sani</v>
      </c>
      <c r="G188" t="s">
        <v>64</v>
      </c>
      <c r="H188" t="s">
        <v>77</v>
      </c>
      <c r="I188">
        <v>4</v>
      </c>
      <c r="J188">
        <v>17394.25</v>
      </c>
      <c r="K188" t="s">
        <v>894</v>
      </c>
      <c r="L188" t="s">
        <v>20</v>
      </c>
      <c r="M188" t="s">
        <v>84</v>
      </c>
      <c r="N188">
        <f t="shared" si="2"/>
        <v>69577</v>
      </c>
      <c r="O188" t="s">
        <v>895</v>
      </c>
    </row>
    <row r="189" spans="1:15" x14ac:dyDescent="0.35">
      <c r="A189">
        <v>5256</v>
      </c>
      <c r="B189" t="s">
        <v>129</v>
      </c>
      <c r="C189" t="str">
        <f>IFERROR(VLOOKUP(B189,Branches!A:B, 2, FALSE), B189&amp;"(NOT FOUND)")</f>
        <v>Sabon Gari Branch</v>
      </c>
      <c r="D189" s="1">
        <v>45307</v>
      </c>
      <c r="E189" t="s">
        <v>25</v>
      </c>
      <c r="F189" t="str">
        <f>IFERROR(VLOOKUP(E189, Staff!A:B, 2, FALSE), E189&amp;" (NOT FOUND)")</f>
        <v>Tobi Adewale</v>
      </c>
      <c r="G189" t="s">
        <v>16</v>
      </c>
      <c r="H189" t="s">
        <v>109</v>
      </c>
      <c r="I189">
        <v>5</v>
      </c>
      <c r="J189">
        <v>7745.37</v>
      </c>
      <c r="K189" t="s">
        <v>894</v>
      </c>
      <c r="L189" t="s">
        <v>60</v>
      </c>
      <c r="M189" t="s">
        <v>38</v>
      </c>
      <c r="N189">
        <f t="shared" si="2"/>
        <v>38726.85</v>
      </c>
      <c r="O189" t="s">
        <v>896</v>
      </c>
    </row>
    <row r="190" spans="1:15" x14ac:dyDescent="0.35">
      <c r="A190">
        <v>5014</v>
      </c>
      <c r="B190" t="s">
        <v>32</v>
      </c>
      <c r="C190" t="str">
        <f>IFERROR(VLOOKUP(B190,Branches!A:B, 2, FALSE), B190&amp;"(NOT FOUND)")</f>
        <v>Wuse Branch</v>
      </c>
      <c r="D190" s="1">
        <v>45514</v>
      </c>
      <c r="E190" t="s">
        <v>76</v>
      </c>
      <c r="F190" t="str">
        <f>IFERROR(VLOOKUP(E190, Staff!A:B, 2, FALSE), E190&amp;" (NOT FOUND)")</f>
        <v>Chika Nwankwo</v>
      </c>
      <c r="G190" t="s">
        <v>26</v>
      </c>
      <c r="H190" t="s">
        <v>46</v>
      </c>
      <c r="I190">
        <v>1</v>
      </c>
      <c r="J190" t="s">
        <v>894</v>
      </c>
      <c r="K190" t="s">
        <v>894</v>
      </c>
      <c r="L190" t="s">
        <v>47</v>
      </c>
      <c r="M190" t="s">
        <v>84</v>
      </c>
      <c r="N190" t="str">
        <f t="shared" si="2"/>
        <v/>
      </c>
      <c r="O190" t="s">
        <v>896</v>
      </c>
    </row>
    <row r="191" spans="1:15" x14ac:dyDescent="0.35">
      <c r="A191">
        <v>5222</v>
      </c>
      <c r="B191" t="s">
        <v>129</v>
      </c>
      <c r="C191" t="str">
        <f>IFERROR(VLOOKUP(B191,Branches!A:B, 2, FALSE), B191&amp;"(NOT FOUND)")</f>
        <v>Sabon Gari Branch</v>
      </c>
      <c r="D191" s="1">
        <v>45396</v>
      </c>
      <c r="E191" t="s">
        <v>25</v>
      </c>
      <c r="F191" t="str">
        <f>IFERROR(VLOOKUP(E191, Staff!A:B, 2, FALSE), E191&amp;" (NOT FOUND)")</f>
        <v>Tobi Adewale</v>
      </c>
      <c r="G191" t="s">
        <v>64</v>
      </c>
      <c r="H191" t="s">
        <v>77</v>
      </c>
      <c r="I191">
        <v>5</v>
      </c>
      <c r="J191">
        <v>24328.31</v>
      </c>
      <c r="K191">
        <v>5</v>
      </c>
      <c r="L191" t="s">
        <v>47</v>
      </c>
      <c r="M191" t="s">
        <v>84</v>
      </c>
      <c r="N191">
        <f t="shared" si="2"/>
        <v>115559.4725</v>
      </c>
      <c r="O191" t="s">
        <v>896</v>
      </c>
    </row>
    <row r="192" spans="1:15" x14ac:dyDescent="0.35">
      <c r="A192">
        <v>5426</v>
      </c>
      <c r="B192" t="s">
        <v>88</v>
      </c>
      <c r="C192" t="str">
        <f>IFERROR(VLOOKUP(B192,Branches!A:B, 2, FALSE), B192&amp;"(NOT FOUND)")</f>
        <v>Lekki Branch</v>
      </c>
      <c r="D192" s="1">
        <v>45541</v>
      </c>
      <c r="E192" t="s">
        <v>57</v>
      </c>
      <c r="F192" t="str">
        <f>IFERROR(VLOOKUP(E192, Staff!A:B, 2, FALSE), E192&amp;" (NOT FOUND)")</f>
        <v>Kelechi Umeh</v>
      </c>
      <c r="G192" t="s">
        <v>35</v>
      </c>
      <c r="H192" t="s">
        <v>155</v>
      </c>
      <c r="I192">
        <v>1</v>
      </c>
      <c r="J192">
        <v>24019.32</v>
      </c>
      <c r="K192" t="s">
        <v>894</v>
      </c>
      <c r="L192" t="s">
        <v>20</v>
      </c>
      <c r="M192" t="s">
        <v>38</v>
      </c>
      <c r="N192">
        <f t="shared" si="2"/>
        <v>24019.32</v>
      </c>
      <c r="O192" t="s">
        <v>896</v>
      </c>
    </row>
    <row r="193" spans="1:15" x14ac:dyDescent="0.35">
      <c r="A193">
        <v>5468</v>
      </c>
      <c r="B193" t="s">
        <v>74</v>
      </c>
      <c r="C193" t="str">
        <f>IFERROR(VLOOKUP(B193,Branches!A:B, 2, FALSE), B193&amp;"(NOT FOUND)")</f>
        <v>Bodija Branch</v>
      </c>
      <c r="D193" s="1">
        <v>45508</v>
      </c>
      <c r="E193" t="s">
        <v>86</v>
      </c>
      <c r="F193" t="str">
        <f>IFERROR(VLOOKUP(E193, Staff!A:B, 2, FALSE), E193&amp;" (NOT FOUND)")</f>
        <v>Ekene Obi</v>
      </c>
      <c r="G193" t="s">
        <v>16</v>
      </c>
      <c r="H193" t="s">
        <v>82</v>
      </c>
      <c r="I193">
        <v>2</v>
      </c>
      <c r="J193" t="s">
        <v>894</v>
      </c>
      <c r="K193">
        <v>0</v>
      </c>
      <c r="L193" t="s">
        <v>47</v>
      </c>
      <c r="M193" t="s">
        <v>38</v>
      </c>
      <c r="N193" t="str">
        <f t="shared" si="2"/>
        <v/>
      </c>
      <c r="O193" t="s">
        <v>895</v>
      </c>
    </row>
    <row r="194" spans="1:15" x14ac:dyDescent="0.35">
      <c r="A194">
        <v>5461</v>
      </c>
      <c r="B194" t="s">
        <v>32</v>
      </c>
      <c r="C194" t="str">
        <f>IFERROR(VLOOKUP(B194,Branches!A:B, 2, FALSE), B194&amp;"(NOT FOUND)")</f>
        <v>Wuse Branch</v>
      </c>
      <c r="D194" s="1">
        <v>45321</v>
      </c>
      <c r="E194" t="s">
        <v>15</v>
      </c>
      <c r="F194" t="str">
        <f>IFERROR(VLOOKUP(E194, Staff!A:B, 2, FALSE), E194&amp;" (NOT FOUND)")</f>
        <v>Ibrahim Sani</v>
      </c>
      <c r="G194" t="s">
        <v>26</v>
      </c>
      <c r="H194" t="s">
        <v>46</v>
      </c>
      <c r="I194">
        <v>5</v>
      </c>
      <c r="J194">
        <v>26043.37</v>
      </c>
      <c r="K194" t="s">
        <v>894</v>
      </c>
      <c r="L194" t="s">
        <v>20</v>
      </c>
      <c r="M194" t="s">
        <v>84</v>
      </c>
      <c r="N194">
        <f t="shared" si="2"/>
        <v>130216.84999999999</v>
      </c>
      <c r="O194" t="s">
        <v>896</v>
      </c>
    </row>
    <row r="195" spans="1:15" x14ac:dyDescent="0.35">
      <c r="A195">
        <v>5052</v>
      </c>
      <c r="B195" t="s">
        <v>129</v>
      </c>
      <c r="C195" t="str">
        <f>IFERROR(VLOOKUP(B195,Branches!A:B, 2, FALSE), B195&amp;"(NOT FOUND)")</f>
        <v>Sabon Gari Branch</v>
      </c>
      <c r="D195" s="1">
        <v>45477</v>
      </c>
      <c r="E195" t="s">
        <v>86</v>
      </c>
      <c r="F195" t="str">
        <f>IFERROR(VLOOKUP(E195, Staff!A:B, 2, FALSE), E195&amp;" (NOT FOUND)")</f>
        <v>Ekene Obi</v>
      </c>
      <c r="G195" t="s">
        <v>26</v>
      </c>
      <c r="H195" t="s">
        <v>167</v>
      </c>
      <c r="I195">
        <v>4</v>
      </c>
      <c r="J195">
        <v>3284.81</v>
      </c>
      <c r="K195">
        <v>5</v>
      </c>
      <c r="L195" t="s">
        <v>20</v>
      </c>
      <c r="M195" t="s">
        <v>84</v>
      </c>
      <c r="N195">
        <f t="shared" ref="N195:N258" si="3">IF(OR(I195="",J195=""),"",IF(OR(K195="", K195=0), I195*J195, (I195*J195)-(K195/100)*I195*J195))</f>
        <v>12482.278</v>
      </c>
      <c r="O195" t="s">
        <v>895</v>
      </c>
    </row>
    <row r="196" spans="1:15" x14ac:dyDescent="0.35">
      <c r="A196">
        <v>5191</v>
      </c>
      <c r="B196" t="s">
        <v>32</v>
      </c>
      <c r="C196" t="str">
        <f>IFERROR(VLOOKUP(B196,Branches!A:B, 2, FALSE), B196&amp;"(NOT FOUND)")</f>
        <v>Wuse Branch</v>
      </c>
      <c r="D196" s="1">
        <v>45445</v>
      </c>
      <c r="E196" t="s">
        <v>15</v>
      </c>
      <c r="F196" t="str">
        <f>IFERROR(VLOOKUP(E196, Staff!A:B, 2, FALSE), E196&amp;" (NOT FOUND)")</f>
        <v>Ibrahim Sani</v>
      </c>
      <c r="G196" t="s">
        <v>26</v>
      </c>
      <c r="H196" t="s">
        <v>46</v>
      </c>
      <c r="I196">
        <v>4</v>
      </c>
      <c r="J196">
        <v>10139.11</v>
      </c>
      <c r="K196">
        <v>15</v>
      </c>
      <c r="L196" t="s">
        <v>47</v>
      </c>
      <c r="M196" t="s">
        <v>84</v>
      </c>
      <c r="N196">
        <f t="shared" si="3"/>
        <v>34472.974000000002</v>
      </c>
      <c r="O196" t="s">
        <v>896</v>
      </c>
    </row>
    <row r="197" spans="1:15" x14ac:dyDescent="0.35">
      <c r="A197">
        <v>5407</v>
      </c>
      <c r="B197" t="s">
        <v>74</v>
      </c>
      <c r="C197" t="str">
        <f>IFERROR(VLOOKUP(B197,Branches!A:B, 2, FALSE), B197&amp;"(NOT FOUND)")</f>
        <v>Bodija Branch</v>
      </c>
      <c r="D197" s="1">
        <v>45363</v>
      </c>
      <c r="E197" t="s">
        <v>51</v>
      </c>
      <c r="F197" t="str">
        <f>IFERROR(VLOOKUP(E197, Staff!A:B, 2, FALSE), E197&amp;" (NOT FOUND)")</f>
        <v>Halima Yusuf</v>
      </c>
      <c r="G197" t="s">
        <v>64</v>
      </c>
      <c r="H197" t="s">
        <v>77</v>
      </c>
      <c r="I197">
        <v>3</v>
      </c>
      <c r="J197">
        <v>14939.81</v>
      </c>
      <c r="K197" t="s">
        <v>894</v>
      </c>
      <c r="L197" t="s">
        <v>60</v>
      </c>
      <c r="M197" t="s">
        <v>84</v>
      </c>
      <c r="N197">
        <f t="shared" si="3"/>
        <v>44819.43</v>
      </c>
      <c r="O197" t="s">
        <v>896</v>
      </c>
    </row>
    <row r="198" spans="1:15" x14ac:dyDescent="0.35">
      <c r="A198">
        <v>5246</v>
      </c>
      <c r="B198" t="s">
        <v>102</v>
      </c>
      <c r="C198" t="str">
        <f>IFERROR(VLOOKUP(B198,Branches!A:B, 2, FALSE), B198&amp;"(NOT FOUND)")</f>
        <v>GRA Branch</v>
      </c>
      <c r="D198" s="1">
        <v>45550</v>
      </c>
      <c r="E198" t="s">
        <v>86</v>
      </c>
      <c r="F198" t="str">
        <f>IFERROR(VLOOKUP(E198, Staff!A:B, 2, FALSE), E198&amp;" (NOT FOUND)")</f>
        <v>Ekene Obi</v>
      </c>
      <c r="G198" t="s">
        <v>35</v>
      </c>
      <c r="H198" t="s">
        <v>136</v>
      </c>
      <c r="I198">
        <v>2</v>
      </c>
      <c r="J198">
        <v>13036.03</v>
      </c>
      <c r="K198">
        <v>5</v>
      </c>
      <c r="L198" t="s">
        <v>20</v>
      </c>
      <c r="M198" t="s">
        <v>38</v>
      </c>
      <c r="N198">
        <f t="shared" si="3"/>
        <v>24768.457000000002</v>
      </c>
      <c r="O198" t="s">
        <v>894</v>
      </c>
    </row>
    <row r="199" spans="1:15" x14ac:dyDescent="0.35">
      <c r="A199">
        <v>5018</v>
      </c>
      <c r="B199" t="s">
        <v>74</v>
      </c>
      <c r="C199" t="str">
        <f>IFERROR(VLOOKUP(B199,Branches!A:B, 2, FALSE), B199&amp;"(NOT FOUND)")</f>
        <v>Bodija Branch</v>
      </c>
      <c r="D199" s="1">
        <v>45539</v>
      </c>
      <c r="E199" t="s">
        <v>51</v>
      </c>
      <c r="F199" t="str">
        <f>IFERROR(VLOOKUP(E199, Staff!A:B, 2, FALSE), E199&amp;" (NOT FOUND)")</f>
        <v>Halima Yusuf</v>
      </c>
      <c r="G199" t="s">
        <v>35</v>
      </c>
      <c r="H199" t="s">
        <v>58</v>
      </c>
      <c r="J199" t="s">
        <v>894</v>
      </c>
      <c r="K199" t="s">
        <v>894</v>
      </c>
      <c r="L199" t="s">
        <v>20</v>
      </c>
      <c r="M199" t="s">
        <v>84</v>
      </c>
      <c r="N199" t="str">
        <f t="shared" si="3"/>
        <v/>
      </c>
      <c r="O199" t="s">
        <v>896</v>
      </c>
    </row>
    <row r="200" spans="1:15" x14ac:dyDescent="0.35">
      <c r="A200">
        <v>5087</v>
      </c>
      <c r="B200" t="s">
        <v>102</v>
      </c>
      <c r="C200" t="str">
        <f>IFERROR(VLOOKUP(B200,Branches!A:B, 2, FALSE), B200&amp;"(NOT FOUND)")</f>
        <v>GRA Branch</v>
      </c>
      <c r="D200" s="1">
        <v>45344</v>
      </c>
      <c r="E200" t="s">
        <v>51</v>
      </c>
      <c r="F200" t="str">
        <f>IFERROR(VLOOKUP(E200, Staff!A:B, 2, FALSE), E200&amp;" (NOT FOUND)")</f>
        <v>Halima Yusuf</v>
      </c>
      <c r="G200" t="s">
        <v>35</v>
      </c>
      <c r="H200" t="s">
        <v>36</v>
      </c>
      <c r="I200">
        <v>3</v>
      </c>
      <c r="J200">
        <v>7661.13</v>
      </c>
      <c r="K200">
        <v>0</v>
      </c>
      <c r="L200" t="s">
        <v>20</v>
      </c>
      <c r="M200" t="s">
        <v>38</v>
      </c>
      <c r="N200">
        <f t="shared" si="3"/>
        <v>22983.39</v>
      </c>
      <c r="O200" t="s">
        <v>895</v>
      </c>
    </row>
    <row r="201" spans="1:15" x14ac:dyDescent="0.35">
      <c r="A201">
        <v>5435</v>
      </c>
      <c r="B201" t="s">
        <v>129</v>
      </c>
      <c r="C201" t="str">
        <f>IFERROR(VLOOKUP(B201,Branches!A:B, 2, FALSE), B201&amp;"(NOT FOUND)")</f>
        <v>Sabon Gari Branch</v>
      </c>
      <c r="D201" s="1">
        <v>45402</v>
      </c>
      <c r="E201" t="s">
        <v>86</v>
      </c>
      <c r="F201" t="str">
        <f>IFERROR(VLOOKUP(E201, Staff!A:B, 2, FALSE), E201&amp;" (NOT FOUND)")</f>
        <v>Ekene Obi</v>
      </c>
      <c r="G201" t="s">
        <v>35</v>
      </c>
      <c r="H201" t="s">
        <v>36</v>
      </c>
      <c r="I201">
        <v>5</v>
      </c>
      <c r="J201" t="s">
        <v>894</v>
      </c>
      <c r="K201">
        <v>5</v>
      </c>
      <c r="L201" t="s">
        <v>20</v>
      </c>
      <c r="M201" t="s">
        <v>84</v>
      </c>
      <c r="N201" t="str">
        <f t="shared" si="3"/>
        <v/>
      </c>
      <c r="O201" t="s">
        <v>895</v>
      </c>
    </row>
    <row r="202" spans="1:15" x14ac:dyDescent="0.35">
      <c r="A202">
        <v>5483</v>
      </c>
      <c r="B202" t="s">
        <v>102</v>
      </c>
      <c r="C202" t="str">
        <f>IFERROR(VLOOKUP(B202,Branches!A:B, 2, FALSE), B202&amp;"(NOT FOUND)")</f>
        <v>GRA Branch</v>
      </c>
      <c r="D202" s="1">
        <v>45328</v>
      </c>
      <c r="E202" t="s">
        <v>51</v>
      </c>
      <c r="F202" t="str">
        <f>IFERROR(VLOOKUP(E202, Staff!A:B, 2, FALSE), E202&amp;" (NOT FOUND)")</f>
        <v>Halima Yusuf</v>
      </c>
      <c r="G202" t="s">
        <v>16</v>
      </c>
      <c r="H202" t="s">
        <v>42</v>
      </c>
      <c r="I202">
        <v>2</v>
      </c>
      <c r="J202">
        <v>7818.03</v>
      </c>
      <c r="K202">
        <v>15</v>
      </c>
      <c r="L202" t="s">
        <v>60</v>
      </c>
      <c r="M202" t="s">
        <v>38</v>
      </c>
      <c r="N202">
        <f t="shared" si="3"/>
        <v>13290.651</v>
      </c>
      <c r="O202" t="s">
        <v>895</v>
      </c>
    </row>
    <row r="203" spans="1:15" x14ac:dyDescent="0.35">
      <c r="A203">
        <v>5172</v>
      </c>
      <c r="B203" t="s">
        <v>88</v>
      </c>
      <c r="C203" t="str">
        <f>IFERROR(VLOOKUP(B203,Branches!A:B, 2, FALSE), B203&amp;"(NOT FOUND)")</f>
        <v>Lekki Branch</v>
      </c>
      <c r="D203" s="1">
        <v>45313</v>
      </c>
      <c r="E203" t="s">
        <v>57</v>
      </c>
      <c r="F203" t="str">
        <f>IFERROR(VLOOKUP(E203, Staff!A:B, 2, FALSE), E203&amp;" (NOT FOUND)")</f>
        <v>Kelechi Umeh</v>
      </c>
      <c r="G203" t="s">
        <v>35</v>
      </c>
      <c r="H203" t="s">
        <v>58</v>
      </c>
      <c r="I203">
        <v>1</v>
      </c>
      <c r="J203">
        <v>6587.71</v>
      </c>
      <c r="K203">
        <v>15</v>
      </c>
      <c r="L203" t="s">
        <v>47</v>
      </c>
      <c r="M203" t="s">
        <v>38</v>
      </c>
      <c r="N203">
        <f t="shared" si="3"/>
        <v>5599.5535</v>
      </c>
      <c r="O203" t="s">
        <v>895</v>
      </c>
    </row>
    <row r="204" spans="1:15" x14ac:dyDescent="0.35">
      <c r="A204">
        <v>5301</v>
      </c>
      <c r="B204" t="s">
        <v>74</v>
      </c>
      <c r="C204" t="str">
        <f>IFERROR(VLOOKUP(B204,Branches!A:B, 2, FALSE), B204&amp;"(NOT FOUND)")</f>
        <v>Bodija Branch</v>
      </c>
      <c r="D204" s="1">
        <v>45451</v>
      </c>
      <c r="E204" t="s">
        <v>76</v>
      </c>
      <c r="F204" t="str">
        <f>IFERROR(VLOOKUP(E204, Staff!A:B, 2, FALSE), E204&amp;" (NOT FOUND)")</f>
        <v>Chika Nwankwo</v>
      </c>
      <c r="G204" t="s">
        <v>35</v>
      </c>
      <c r="H204" t="s">
        <v>99</v>
      </c>
      <c r="I204">
        <v>3</v>
      </c>
      <c r="J204">
        <v>36206.769999999997</v>
      </c>
      <c r="K204" t="s">
        <v>894</v>
      </c>
      <c r="L204" t="s">
        <v>60</v>
      </c>
      <c r="M204" t="s">
        <v>38</v>
      </c>
      <c r="N204">
        <f t="shared" si="3"/>
        <v>108620.31</v>
      </c>
      <c r="O204" t="s">
        <v>895</v>
      </c>
    </row>
    <row r="205" spans="1:15" x14ac:dyDescent="0.35">
      <c r="A205">
        <v>5162</v>
      </c>
      <c r="B205" t="s">
        <v>102</v>
      </c>
      <c r="C205" t="str">
        <f>IFERROR(VLOOKUP(B205,Branches!A:B, 2, FALSE), B205&amp;"(NOT FOUND)")</f>
        <v>GRA Branch</v>
      </c>
      <c r="D205" s="1">
        <v>45531</v>
      </c>
      <c r="E205" t="s">
        <v>86</v>
      </c>
      <c r="F205" t="str">
        <f>IFERROR(VLOOKUP(E205, Staff!A:B, 2, FALSE), E205&amp;" (NOT FOUND)")</f>
        <v>Ekene Obi</v>
      </c>
      <c r="G205" t="s">
        <v>16</v>
      </c>
      <c r="H205" t="s">
        <v>170</v>
      </c>
      <c r="I205">
        <v>3</v>
      </c>
      <c r="J205" t="s">
        <v>894</v>
      </c>
      <c r="K205">
        <v>10</v>
      </c>
      <c r="L205" t="s">
        <v>20</v>
      </c>
      <c r="M205" t="s">
        <v>38</v>
      </c>
      <c r="N205" t="str">
        <f t="shared" si="3"/>
        <v/>
      </c>
      <c r="O205" t="s">
        <v>895</v>
      </c>
    </row>
    <row r="206" spans="1:15" x14ac:dyDescent="0.35">
      <c r="A206">
        <v>5120</v>
      </c>
      <c r="B206" t="s">
        <v>32</v>
      </c>
      <c r="C206" t="str">
        <f>IFERROR(VLOOKUP(B206,Branches!A:B, 2, FALSE), B206&amp;"(NOT FOUND)")</f>
        <v>Wuse Branch</v>
      </c>
      <c r="D206" s="1">
        <v>45536</v>
      </c>
      <c r="E206" t="s">
        <v>15</v>
      </c>
      <c r="F206" t="str">
        <f>IFERROR(VLOOKUP(E206, Staff!A:B, 2, FALSE), E206&amp;" (NOT FOUND)")</f>
        <v>Ibrahim Sani</v>
      </c>
      <c r="G206" t="s">
        <v>35</v>
      </c>
      <c r="H206" t="s">
        <v>99</v>
      </c>
      <c r="I206">
        <v>4</v>
      </c>
      <c r="J206" t="s">
        <v>894</v>
      </c>
      <c r="K206">
        <v>0</v>
      </c>
      <c r="L206" t="s">
        <v>47</v>
      </c>
      <c r="M206" t="s">
        <v>84</v>
      </c>
      <c r="N206" t="str">
        <f t="shared" si="3"/>
        <v/>
      </c>
      <c r="O206" t="s">
        <v>896</v>
      </c>
    </row>
    <row r="207" spans="1:15" x14ac:dyDescent="0.35">
      <c r="A207">
        <v>5141</v>
      </c>
      <c r="B207" t="s">
        <v>306</v>
      </c>
      <c r="C207" t="str">
        <f>IFERROR(VLOOKUP(B207,Branches!A:B, 2, FALSE), B207&amp;"(NOT FOUND)")</f>
        <v>BR12(NOT FOUND)</v>
      </c>
      <c r="D207" s="1">
        <v>45471</v>
      </c>
      <c r="E207" t="s">
        <v>108</v>
      </c>
      <c r="F207" t="str">
        <f>IFERROR(VLOOKUP(E207, Staff!A:B, 2, FALSE), E207&amp;" (NOT FOUND)")</f>
        <v>Ronke Bakare</v>
      </c>
      <c r="G207" t="s">
        <v>64</v>
      </c>
      <c r="H207" t="s">
        <v>116</v>
      </c>
      <c r="I207">
        <v>5</v>
      </c>
      <c r="J207" t="s">
        <v>894</v>
      </c>
      <c r="K207">
        <v>15</v>
      </c>
      <c r="L207" t="s">
        <v>60</v>
      </c>
      <c r="M207" t="s">
        <v>38</v>
      </c>
      <c r="N207" t="str">
        <f t="shared" si="3"/>
        <v/>
      </c>
      <c r="O207" t="s">
        <v>896</v>
      </c>
    </row>
    <row r="208" spans="1:15" x14ac:dyDescent="0.35">
      <c r="A208">
        <v>5233</v>
      </c>
      <c r="B208" t="s">
        <v>129</v>
      </c>
      <c r="C208" t="str">
        <f>IFERROR(VLOOKUP(B208,Branches!A:B, 2, FALSE), B208&amp;"(NOT FOUND)")</f>
        <v>Sabon Gari Branch</v>
      </c>
      <c r="D208" s="1">
        <v>45506</v>
      </c>
      <c r="E208" t="s">
        <v>34</v>
      </c>
      <c r="F208" t="str">
        <f>IFERROR(VLOOKUP(E208, Staff!A:B, 2, FALSE), E208&amp;" (NOT FOUND)")</f>
        <v>Funke Ajayi</v>
      </c>
      <c r="G208" t="s">
        <v>64</v>
      </c>
      <c r="H208" t="s">
        <v>133</v>
      </c>
      <c r="J208" t="s">
        <v>894</v>
      </c>
      <c r="K208">
        <v>5</v>
      </c>
      <c r="L208" t="s">
        <v>47</v>
      </c>
      <c r="M208" t="s">
        <v>84</v>
      </c>
      <c r="N208" t="str">
        <f t="shared" si="3"/>
        <v/>
      </c>
      <c r="O208" t="s">
        <v>895</v>
      </c>
    </row>
    <row r="209" spans="1:15" x14ac:dyDescent="0.35">
      <c r="A209">
        <v>5270</v>
      </c>
      <c r="B209" t="s">
        <v>88</v>
      </c>
      <c r="C209" t="str">
        <f>IFERROR(VLOOKUP(B209,Branches!A:B, 2, FALSE), B209&amp;"(NOT FOUND)")</f>
        <v>Lekki Branch</v>
      </c>
      <c r="D209" s="1">
        <v>45323</v>
      </c>
      <c r="E209" t="s">
        <v>25</v>
      </c>
      <c r="F209" t="str">
        <f>IFERROR(VLOOKUP(E209, Staff!A:B, 2, FALSE), E209&amp;" (NOT FOUND)")</f>
        <v>Tobi Adewale</v>
      </c>
      <c r="G209" t="s">
        <v>16</v>
      </c>
      <c r="H209" t="s">
        <v>17</v>
      </c>
      <c r="I209">
        <v>4</v>
      </c>
      <c r="J209" t="s">
        <v>894</v>
      </c>
      <c r="K209">
        <v>5</v>
      </c>
      <c r="L209" t="s">
        <v>47</v>
      </c>
      <c r="M209" t="s">
        <v>84</v>
      </c>
      <c r="N209" t="str">
        <f t="shared" si="3"/>
        <v/>
      </c>
      <c r="O209" t="s">
        <v>895</v>
      </c>
    </row>
    <row r="210" spans="1:15" x14ac:dyDescent="0.35">
      <c r="A210">
        <v>5091</v>
      </c>
      <c r="B210" t="s">
        <v>32</v>
      </c>
      <c r="C210" t="str">
        <f>IFERROR(VLOOKUP(B210,Branches!A:B, 2, FALSE), B210&amp;"(NOT FOUND)")</f>
        <v>Wuse Branch</v>
      </c>
      <c r="D210" s="1">
        <v>45525</v>
      </c>
      <c r="E210" t="s">
        <v>57</v>
      </c>
      <c r="F210" t="str">
        <f>IFERROR(VLOOKUP(E210, Staff!A:B, 2, FALSE), E210&amp;" (NOT FOUND)")</f>
        <v>Kelechi Umeh</v>
      </c>
      <c r="G210" t="s">
        <v>26</v>
      </c>
      <c r="H210" t="s">
        <v>167</v>
      </c>
      <c r="J210">
        <v>24679.52</v>
      </c>
      <c r="K210" t="s">
        <v>894</v>
      </c>
      <c r="L210" t="s">
        <v>47</v>
      </c>
      <c r="M210" t="s">
        <v>38</v>
      </c>
      <c r="N210" t="str">
        <f t="shared" si="3"/>
        <v/>
      </c>
      <c r="O210" t="s">
        <v>894</v>
      </c>
    </row>
    <row r="211" spans="1:15" x14ac:dyDescent="0.35">
      <c r="A211">
        <v>5356</v>
      </c>
      <c r="B211" t="s">
        <v>32</v>
      </c>
      <c r="C211" t="str">
        <f>IFERROR(VLOOKUP(B211,Branches!A:B, 2, FALSE), B211&amp;"(NOT FOUND)")</f>
        <v>Wuse Branch</v>
      </c>
      <c r="D211" s="1">
        <v>45520</v>
      </c>
      <c r="E211" t="s">
        <v>25</v>
      </c>
      <c r="F211" t="str">
        <f>IFERROR(VLOOKUP(E211, Staff!A:B, 2, FALSE), E211&amp;" (NOT FOUND)")</f>
        <v>Tobi Adewale</v>
      </c>
      <c r="G211" t="s">
        <v>64</v>
      </c>
      <c r="H211" t="s">
        <v>65</v>
      </c>
      <c r="I211">
        <v>3</v>
      </c>
      <c r="J211" t="s">
        <v>894</v>
      </c>
      <c r="K211" t="s">
        <v>894</v>
      </c>
      <c r="L211" t="s">
        <v>47</v>
      </c>
      <c r="M211" t="s">
        <v>84</v>
      </c>
      <c r="N211" t="str">
        <f t="shared" si="3"/>
        <v/>
      </c>
      <c r="O211" t="s">
        <v>896</v>
      </c>
    </row>
    <row r="212" spans="1:15" x14ac:dyDescent="0.35">
      <c r="A212">
        <v>5203</v>
      </c>
      <c r="B212" t="s">
        <v>88</v>
      </c>
      <c r="C212" t="str">
        <f>IFERROR(VLOOKUP(B212,Branches!A:B, 2, FALSE), B212&amp;"(NOT FOUND)")</f>
        <v>Lekki Branch</v>
      </c>
      <c r="D212" s="1">
        <v>45558</v>
      </c>
      <c r="E212" t="s">
        <v>108</v>
      </c>
      <c r="F212" t="str">
        <f>IFERROR(VLOOKUP(E212, Staff!A:B, 2, FALSE), E212&amp;" (NOT FOUND)")</f>
        <v>Ronke Bakare</v>
      </c>
      <c r="G212" t="s">
        <v>16</v>
      </c>
      <c r="H212" t="s">
        <v>17</v>
      </c>
      <c r="J212">
        <v>36023.53</v>
      </c>
      <c r="K212">
        <v>10</v>
      </c>
      <c r="L212" t="s">
        <v>20</v>
      </c>
      <c r="M212" t="s">
        <v>38</v>
      </c>
      <c r="N212" t="str">
        <f t="shared" si="3"/>
        <v/>
      </c>
      <c r="O212" t="s">
        <v>895</v>
      </c>
    </row>
    <row r="213" spans="1:15" x14ac:dyDescent="0.35">
      <c r="A213">
        <v>5212</v>
      </c>
      <c r="B213" t="s">
        <v>102</v>
      </c>
      <c r="C213" t="str">
        <f>IFERROR(VLOOKUP(B213,Branches!A:B, 2, FALSE), B213&amp;"(NOT FOUND)")</f>
        <v>GRA Branch</v>
      </c>
      <c r="D213" s="1">
        <v>45441</v>
      </c>
      <c r="E213" t="s">
        <v>76</v>
      </c>
      <c r="F213" t="str">
        <f>IFERROR(VLOOKUP(E213, Staff!A:B, 2, FALSE), E213&amp;" (NOT FOUND)")</f>
        <v>Chika Nwankwo</v>
      </c>
      <c r="G213" t="s">
        <v>64</v>
      </c>
      <c r="H213" t="s">
        <v>133</v>
      </c>
      <c r="I213">
        <v>4</v>
      </c>
      <c r="J213">
        <v>42838.02</v>
      </c>
      <c r="K213">
        <v>0</v>
      </c>
      <c r="L213" t="s">
        <v>47</v>
      </c>
      <c r="M213" t="s">
        <v>84</v>
      </c>
      <c r="N213">
        <f t="shared" si="3"/>
        <v>171352.08</v>
      </c>
      <c r="O213" t="s">
        <v>895</v>
      </c>
    </row>
    <row r="214" spans="1:15" x14ac:dyDescent="0.35">
      <c r="A214">
        <v>5351</v>
      </c>
      <c r="B214" t="s">
        <v>74</v>
      </c>
      <c r="C214" t="str">
        <f>IFERROR(VLOOKUP(B214,Branches!A:B, 2, FALSE), B214&amp;"(NOT FOUND)")</f>
        <v>Bodija Branch</v>
      </c>
      <c r="D214" s="1">
        <v>45461</v>
      </c>
      <c r="E214" t="s">
        <v>15</v>
      </c>
      <c r="F214" t="str">
        <f>IFERROR(VLOOKUP(E214, Staff!A:B, 2, FALSE), E214&amp;" (NOT FOUND)")</f>
        <v>Ibrahim Sani</v>
      </c>
      <c r="G214" t="s">
        <v>16</v>
      </c>
      <c r="H214" t="s">
        <v>82</v>
      </c>
      <c r="I214">
        <v>2</v>
      </c>
      <c r="J214" t="s">
        <v>894</v>
      </c>
      <c r="K214">
        <v>0</v>
      </c>
      <c r="L214" t="s">
        <v>20</v>
      </c>
      <c r="M214" t="s">
        <v>38</v>
      </c>
      <c r="N214" t="str">
        <f t="shared" si="3"/>
        <v/>
      </c>
      <c r="O214" t="s">
        <v>896</v>
      </c>
    </row>
    <row r="215" spans="1:15" x14ac:dyDescent="0.35">
      <c r="A215">
        <v>5357</v>
      </c>
      <c r="B215" t="s">
        <v>32</v>
      </c>
      <c r="C215" t="str">
        <f>IFERROR(VLOOKUP(B215,Branches!A:B, 2, FALSE), B215&amp;"(NOT FOUND)")</f>
        <v>Wuse Branch</v>
      </c>
      <c r="D215" s="1">
        <v>45605</v>
      </c>
      <c r="E215" t="s">
        <v>108</v>
      </c>
      <c r="F215" t="str">
        <f>IFERROR(VLOOKUP(E215, Staff!A:B, 2, FALSE), E215&amp;" (NOT FOUND)")</f>
        <v>Ronke Bakare</v>
      </c>
      <c r="G215" t="s">
        <v>35</v>
      </c>
      <c r="H215" t="s">
        <v>36</v>
      </c>
      <c r="I215">
        <v>1</v>
      </c>
      <c r="J215">
        <v>1779.78</v>
      </c>
      <c r="K215" t="s">
        <v>894</v>
      </c>
      <c r="L215" t="s">
        <v>60</v>
      </c>
      <c r="M215" t="s">
        <v>84</v>
      </c>
      <c r="N215">
        <f t="shared" si="3"/>
        <v>1779.78</v>
      </c>
      <c r="O215" t="s">
        <v>896</v>
      </c>
    </row>
    <row r="216" spans="1:15" x14ac:dyDescent="0.35">
      <c r="A216">
        <v>5034</v>
      </c>
      <c r="B216" t="s">
        <v>102</v>
      </c>
      <c r="C216" t="str">
        <f>IFERROR(VLOOKUP(B216,Branches!A:B, 2, FALSE), B216&amp;"(NOT FOUND)")</f>
        <v>GRA Branch</v>
      </c>
      <c r="D216" s="1">
        <v>45429</v>
      </c>
      <c r="E216" t="s">
        <v>86</v>
      </c>
      <c r="F216" t="str">
        <f>IFERROR(VLOOKUP(E216, Staff!A:B, 2, FALSE), E216&amp;" (NOT FOUND)")</f>
        <v>Ekene Obi</v>
      </c>
      <c r="G216" t="s">
        <v>16</v>
      </c>
      <c r="H216" t="s">
        <v>82</v>
      </c>
      <c r="I216">
        <v>3</v>
      </c>
      <c r="J216">
        <v>29493.279999999999</v>
      </c>
      <c r="K216">
        <v>10</v>
      </c>
      <c r="L216" t="s">
        <v>60</v>
      </c>
      <c r="M216" t="s">
        <v>38</v>
      </c>
      <c r="N216">
        <f t="shared" si="3"/>
        <v>79631.856</v>
      </c>
      <c r="O216" t="s">
        <v>895</v>
      </c>
    </row>
    <row r="217" spans="1:15" x14ac:dyDescent="0.35">
      <c r="A217">
        <v>5041</v>
      </c>
      <c r="B217" t="s">
        <v>102</v>
      </c>
      <c r="C217" t="str">
        <f>IFERROR(VLOOKUP(B217,Branches!A:B, 2, FALSE), B217&amp;"(NOT FOUND)")</f>
        <v>GRA Branch</v>
      </c>
      <c r="D217" s="1">
        <v>45522</v>
      </c>
      <c r="E217" t="s">
        <v>57</v>
      </c>
      <c r="F217" t="str">
        <f>IFERROR(VLOOKUP(E217, Staff!A:B, 2, FALSE), E217&amp;" (NOT FOUND)")</f>
        <v>Kelechi Umeh</v>
      </c>
      <c r="G217" t="s">
        <v>16</v>
      </c>
      <c r="H217" t="s">
        <v>109</v>
      </c>
      <c r="I217">
        <v>1</v>
      </c>
      <c r="J217" t="s">
        <v>894</v>
      </c>
      <c r="K217" t="s">
        <v>894</v>
      </c>
      <c r="L217" t="s">
        <v>47</v>
      </c>
      <c r="M217" t="s">
        <v>84</v>
      </c>
      <c r="N217" t="str">
        <f t="shared" si="3"/>
        <v/>
      </c>
      <c r="O217" t="s">
        <v>895</v>
      </c>
    </row>
    <row r="218" spans="1:15" x14ac:dyDescent="0.35">
      <c r="A218">
        <v>5465</v>
      </c>
      <c r="B218" t="s">
        <v>88</v>
      </c>
      <c r="C218" t="str">
        <f>IFERROR(VLOOKUP(B218,Branches!A:B, 2, FALSE), B218&amp;"(NOT FOUND)")</f>
        <v>Lekki Branch</v>
      </c>
      <c r="D218" s="1">
        <v>45485</v>
      </c>
      <c r="E218" t="s">
        <v>108</v>
      </c>
      <c r="F218" t="str">
        <f>IFERROR(VLOOKUP(E218, Staff!A:B, 2, FALSE), E218&amp;" (NOT FOUND)")</f>
        <v>Ronke Bakare</v>
      </c>
      <c r="G218" t="s">
        <v>16</v>
      </c>
      <c r="H218" t="s">
        <v>170</v>
      </c>
      <c r="J218">
        <v>35915.47</v>
      </c>
      <c r="K218" t="s">
        <v>894</v>
      </c>
      <c r="L218" t="s">
        <v>60</v>
      </c>
      <c r="M218" t="s">
        <v>84</v>
      </c>
      <c r="N218" t="str">
        <f t="shared" si="3"/>
        <v/>
      </c>
      <c r="O218" t="s">
        <v>895</v>
      </c>
    </row>
    <row r="219" spans="1:15" x14ac:dyDescent="0.35">
      <c r="A219">
        <v>5135</v>
      </c>
      <c r="B219" t="s">
        <v>129</v>
      </c>
      <c r="C219" t="str">
        <f>IFERROR(VLOOKUP(B219,Branches!A:B, 2, FALSE), B219&amp;"(NOT FOUND)")</f>
        <v>Sabon Gari Branch</v>
      </c>
      <c r="D219" s="1">
        <v>45462</v>
      </c>
      <c r="E219" t="s">
        <v>86</v>
      </c>
      <c r="F219" t="str">
        <f>IFERROR(VLOOKUP(E219, Staff!A:B, 2, FALSE), E219&amp;" (NOT FOUND)")</f>
        <v>Ekene Obi</v>
      </c>
      <c r="G219" t="s">
        <v>26</v>
      </c>
      <c r="H219" t="s">
        <v>52</v>
      </c>
      <c r="I219">
        <v>3</v>
      </c>
      <c r="J219" t="s">
        <v>894</v>
      </c>
      <c r="K219">
        <v>15</v>
      </c>
      <c r="L219" t="s">
        <v>47</v>
      </c>
      <c r="M219" t="s">
        <v>38</v>
      </c>
      <c r="N219" t="str">
        <f t="shared" si="3"/>
        <v/>
      </c>
      <c r="O219" t="s">
        <v>896</v>
      </c>
    </row>
    <row r="220" spans="1:15" x14ac:dyDescent="0.35">
      <c r="A220">
        <v>5342</v>
      </c>
      <c r="B220" t="s">
        <v>102</v>
      </c>
      <c r="C220" t="str">
        <f>IFERROR(VLOOKUP(B220,Branches!A:B, 2, FALSE), B220&amp;"(NOT FOUND)")</f>
        <v>GRA Branch</v>
      </c>
      <c r="D220" s="1">
        <v>45350</v>
      </c>
      <c r="E220" t="s">
        <v>108</v>
      </c>
      <c r="F220" t="str">
        <f>IFERROR(VLOOKUP(E220, Staff!A:B, 2, FALSE), E220&amp;" (NOT FOUND)")</f>
        <v>Ronke Bakare</v>
      </c>
      <c r="G220" t="s">
        <v>35</v>
      </c>
      <c r="H220" t="s">
        <v>155</v>
      </c>
      <c r="I220">
        <v>5</v>
      </c>
      <c r="J220">
        <v>32811.910000000003</v>
      </c>
      <c r="K220" t="s">
        <v>894</v>
      </c>
      <c r="L220" t="s">
        <v>47</v>
      </c>
      <c r="M220" t="s">
        <v>84</v>
      </c>
      <c r="N220">
        <f t="shared" si="3"/>
        <v>164059.55000000002</v>
      </c>
      <c r="O220" t="s">
        <v>896</v>
      </c>
    </row>
    <row r="221" spans="1:15" x14ac:dyDescent="0.35">
      <c r="A221">
        <v>5144</v>
      </c>
      <c r="B221" t="s">
        <v>74</v>
      </c>
      <c r="C221" t="str">
        <f>IFERROR(VLOOKUP(B221,Branches!A:B, 2, FALSE), B221&amp;"(NOT FOUND)")</f>
        <v>Bodija Branch</v>
      </c>
      <c r="D221" s="1">
        <v>45293</v>
      </c>
      <c r="E221" t="s">
        <v>86</v>
      </c>
      <c r="F221" t="str">
        <f>IFERROR(VLOOKUP(E221, Staff!A:B, 2, FALSE), E221&amp;" (NOT FOUND)")</f>
        <v>Ekene Obi</v>
      </c>
      <c r="G221" t="s">
        <v>26</v>
      </c>
      <c r="H221" t="s">
        <v>52</v>
      </c>
      <c r="I221">
        <v>5</v>
      </c>
      <c r="J221">
        <v>27339.18</v>
      </c>
      <c r="K221" t="s">
        <v>894</v>
      </c>
      <c r="L221" t="s">
        <v>60</v>
      </c>
      <c r="M221" t="s">
        <v>38</v>
      </c>
      <c r="N221">
        <f t="shared" si="3"/>
        <v>136695.9</v>
      </c>
      <c r="O221" t="s">
        <v>894</v>
      </c>
    </row>
    <row r="222" spans="1:15" x14ac:dyDescent="0.35">
      <c r="A222">
        <v>5308</v>
      </c>
      <c r="B222" t="s">
        <v>88</v>
      </c>
      <c r="C222" t="str">
        <f>IFERROR(VLOOKUP(B222,Branches!A:B, 2, FALSE), B222&amp;"(NOT FOUND)")</f>
        <v>Lekki Branch</v>
      </c>
      <c r="D222" s="1">
        <v>45374</v>
      </c>
      <c r="E222" t="s">
        <v>57</v>
      </c>
      <c r="F222" t="str">
        <f>IFERROR(VLOOKUP(E222, Staff!A:B, 2, FALSE), E222&amp;" (NOT FOUND)")</f>
        <v>Kelechi Umeh</v>
      </c>
      <c r="G222" t="s">
        <v>35</v>
      </c>
      <c r="H222" t="s">
        <v>36</v>
      </c>
      <c r="J222" t="s">
        <v>894</v>
      </c>
      <c r="K222" t="s">
        <v>894</v>
      </c>
      <c r="L222" t="s">
        <v>47</v>
      </c>
      <c r="M222" t="s">
        <v>38</v>
      </c>
      <c r="N222" t="str">
        <f t="shared" si="3"/>
        <v/>
      </c>
      <c r="O222" t="s">
        <v>896</v>
      </c>
    </row>
    <row r="223" spans="1:15" x14ac:dyDescent="0.35">
      <c r="A223">
        <v>5457</v>
      </c>
      <c r="B223" t="s">
        <v>74</v>
      </c>
      <c r="C223" t="str">
        <f>IFERROR(VLOOKUP(B223,Branches!A:B, 2, FALSE), B223&amp;"(NOT FOUND)")</f>
        <v>Bodija Branch</v>
      </c>
      <c r="D223" s="1">
        <v>45349</v>
      </c>
      <c r="E223" t="s">
        <v>108</v>
      </c>
      <c r="F223" t="str">
        <f>IFERROR(VLOOKUP(E223, Staff!A:B, 2, FALSE), E223&amp;" (NOT FOUND)")</f>
        <v>Ronke Bakare</v>
      </c>
      <c r="G223" t="s">
        <v>35</v>
      </c>
      <c r="H223" t="s">
        <v>58</v>
      </c>
      <c r="J223">
        <v>27696.7</v>
      </c>
      <c r="K223">
        <v>10</v>
      </c>
      <c r="L223" t="s">
        <v>47</v>
      </c>
      <c r="M223" t="s">
        <v>38</v>
      </c>
      <c r="N223" t="str">
        <f t="shared" si="3"/>
        <v/>
      </c>
      <c r="O223" t="s">
        <v>895</v>
      </c>
    </row>
    <row r="224" spans="1:15" x14ac:dyDescent="0.35">
      <c r="A224">
        <v>5272</v>
      </c>
      <c r="B224" t="s">
        <v>74</v>
      </c>
      <c r="C224" t="str">
        <f>IFERROR(VLOOKUP(B224,Branches!A:B, 2, FALSE), B224&amp;"(NOT FOUND)")</f>
        <v>Bodija Branch</v>
      </c>
      <c r="D224" s="1">
        <v>45435</v>
      </c>
      <c r="E224" t="s">
        <v>25</v>
      </c>
      <c r="F224" t="str">
        <f>IFERROR(VLOOKUP(E224, Staff!A:B, 2, FALSE), E224&amp;" (NOT FOUND)")</f>
        <v>Tobi Adewale</v>
      </c>
      <c r="G224" t="s">
        <v>26</v>
      </c>
      <c r="H224" t="s">
        <v>46</v>
      </c>
      <c r="I224">
        <v>4</v>
      </c>
      <c r="J224" t="s">
        <v>894</v>
      </c>
      <c r="K224" t="s">
        <v>894</v>
      </c>
      <c r="L224" t="s">
        <v>47</v>
      </c>
      <c r="M224" t="s">
        <v>38</v>
      </c>
      <c r="N224" t="str">
        <f t="shared" si="3"/>
        <v/>
      </c>
      <c r="O224" t="s">
        <v>896</v>
      </c>
    </row>
    <row r="225" spans="1:15" x14ac:dyDescent="0.35">
      <c r="A225">
        <v>5163</v>
      </c>
      <c r="B225" t="s">
        <v>32</v>
      </c>
      <c r="C225" t="str">
        <f>IFERROR(VLOOKUP(B225,Branches!A:B, 2, FALSE), B225&amp;"(NOT FOUND)")</f>
        <v>Wuse Branch</v>
      </c>
      <c r="D225" s="1">
        <v>45477</v>
      </c>
      <c r="E225" t="s">
        <v>76</v>
      </c>
      <c r="F225" t="str">
        <f>IFERROR(VLOOKUP(E225, Staff!A:B, 2, FALSE), E225&amp;" (NOT FOUND)")</f>
        <v>Chika Nwankwo</v>
      </c>
      <c r="G225" t="s">
        <v>26</v>
      </c>
      <c r="H225" t="s">
        <v>27</v>
      </c>
      <c r="J225">
        <v>15261.77</v>
      </c>
      <c r="K225">
        <v>10</v>
      </c>
      <c r="L225" t="s">
        <v>60</v>
      </c>
      <c r="M225" t="s">
        <v>84</v>
      </c>
      <c r="N225" t="str">
        <f t="shared" si="3"/>
        <v/>
      </c>
      <c r="O225" t="s">
        <v>895</v>
      </c>
    </row>
    <row r="226" spans="1:15" x14ac:dyDescent="0.35">
      <c r="A226">
        <v>5148</v>
      </c>
      <c r="B226" t="s">
        <v>32</v>
      </c>
      <c r="C226" t="str">
        <f>IFERROR(VLOOKUP(B226,Branches!A:B, 2, FALSE), B226&amp;"(NOT FOUND)")</f>
        <v>Wuse Branch</v>
      </c>
      <c r="D226" s="1">
        <v>45416</v>
      </c>
      <c r="E226" t="s">
        <v>51</v>
      </c>
      <c r="F226" t="str">
        <f>IFERROR(VLOOKUP(E226, Staff!A:B, 2, FALSE), E226&amp;" (NOT FOUND)")</f>
        <v>Halima Yusuf</v>
      </c>
      <c r="G226" t="s">
        <v>35</v>
      </c>
      <c r="H226" t="s">
        <v>36</v>
      </c>
      <c r="J226" t="s">
        <v>894</v>
      </c>
      <c r="K226" t="s">
        <v>894</v>
      </c>
      <c r="L226" t="s">
        <v>47</v>
      </c>
      <c r="M226" t="s">
        <v>84</v>
      </c>
      <c r="N226" t="str">
        <f t="shared" si="3"/>
        <v/>
      </c>
      <c r="O226" t="s">
        <v>896</v>
      </c>
    </row>
    <row r="227" spans="1:15" x14ac:dyDescent="0.35">
      <c r="A227">
        <v>5050</v>
      </c>
      <c r="B227" t="s">
        <v>32</v>
      </c>
      <c r="C227" t="str">
        <f>IFERROR(VLOOKUP(B227,Branches!A:B, 2, FALSE), B227&amp;"(NOT FOUND)")</f>
        <v>Wuse Branch</v>
      </c>
      <c r="D227" s="1">
        <v>45435</v>
      </c>
      <c r="E227" t="s">
        <v>108</v>
      </c>
      <c r="F227" t="str">
        <f>IFERROR(VLOOKUP(E227, Staff!A:B, 2, FALSE), E227&amp;" (NOT FOUND)")</f>
        <v>Ronke Bakare</v>
      </c>
      <c r="G227" t="s">
        <v>16</v>
      </c>
      <c r="H227" t="s">
        <v>42</v>
      </c>
      <c r="I227">
        <v>4</v>
      </c>
      <c r="J227" t="s">
        <v>894</v>
      </c>
      <c r="K227">
        <v>5</v>
      </c>
      <c r="L227" t="s">
        <v>20</v>
      </c>
      <c r="M227" t="s">
        <v>38</v>
      </c>
      <c r="N227" t="str">
        <f t="shared" si="3"/>
        <v/>
      </c>
      <c r="O227" t="s">
        <v>896</v>
      </c>
    </row>
    <row r="228" spans="1:15" x14ac:dyDescent="0.35">
      <c r="A228">
        <v>5424</v>
      </c>
      <c r="B228" t="s">
        <v>102</v>
      </c>
      <c r="C228" t="str">
        <f>IFERROR(VLOOKUP(B228,Branches!A:B, 2, FALSE), B228&amp;"(NOT FOUND)")</f>
        <v>GRA Branch</v>
      </c>
      <c r="D228" s="1">
        <v>45344</v>
      </c>
      <c r="E228" t="s">
        <v>108</v>
      </c>
      <c r="F228" t="str">
        <f>IFERROR(VLOOKUP(E228, Staff!A:B, 2, FALSE), E228&amp;" (NOT FOUND)")</f>
        <v>Ronke Bakare</v>
      </c>
      <c r="G228" t="s">
        <v>35</v>
      </c>
      <c r="H228" t="s">
        <v>58</v>
      </c>
      <c r="I228">
        <v>1</v>
      </c>
      <c r="J228">
        <v>31167.72</v>
      </c>
      <c r="K228" t="s">
        <v>894</v>
      </c>
      <c r="L228" t="s">
        <v>20</v>
      </c>
      <c r="M228" t="s">
        <v>38</v>
      </c>
      <c r="N228">
        <f t="shared" si="3"/>
        <v>31167.72</v>
      </c>
      <c r="O228" t="s">
        <v>896</v>
      </c>
    </row>
    <row r="229" spans="1:15" x14ac:dyDescent="0.35">
      <c r="A229">
        <v>5122</v>
      </c>
      <c r="B229" t="s">
        <v>102</v>
      </c>
      <c r="C229" t="str">
        <f>IFERROR(VLOOKUP(B229,Branches!A:B, 2, FALSE), B229&amp;"(NOT FOUND)")</f>
        <v>GRA Branch</v>
      </c>
      <c r="D229" s="1">
        <v>45353</v>
      </c>
      <c r="E229" t="s">
        <v>25</v>
      </c>
      <c r="F229" t="str">
        <f>IFERROR(VLOOKUP(E229, Staff!A:B, 2, FALSE), E229&amp;" (NOT FOUND)")</f>
        <v>Tobi Adewale</v>
      </c>
      <c r="G229" t="s">
        <v>64</v>
      </c>
      <c r="H229" t="s">
        <v>77</v>
      </c>
      <c r="I229">
        <v>1</v>
      </c>
      <c r="J229">
        <v>7324.92</v>
      </c>
      <c r="K229" t="s">
        <v>894</v>
      </c>
      <c r="L229" t="s">
        <v>60</v>
      </c>
      <c r="M229" t="s">
        <v>84</v>
      </c>
      <c r="N229">
        <f t="shared" si="3"/>
        <v>7324.92</v>
      </c>
      <c r="O229" t="s">
        <v>895</v>
      </c>
    </row>
    <row r="230" spans="1:15" x14ac:dyDescent="0.35">
      <c r="A230">
        <v>5129</v>
      </c>
      <c r="B230" t="s">
        <v>74</v>
      </c>
      <c r="C230" t="str">
        <f>IFERROR(VLOOKUP(B230,Branches!A:B, 2, FALSE), B230&amp;"(NOT FOUND)")</f>
        <v>Bodija Branch</v>
      </c>
      <c r="D230" s="1">
        <v>45340</v>
      </c>
      <c r="E230" t="s">
        <v>348</v>
      </c>
      <c r="F230" t="str">
        <f>IFERROR(VLOOKUP(E230, Staff!A:B, 2, FALSE), E230&amp;" (NOT FOUND)")</f>
        <v>SXXX (NOT FOUND)</v>
      </c>
      <c r="G230" t="s">
        <v>35</v>
      </c>
      <c r="H230" t="s">
        <v>36</v>
      </c>
      <c r="J230">
        <v>27173.22</v>
      </c>
      <c r="K230" t="s">
        <v>894</v>
      </c>
      <c r="L230" t="s">
        <v>60</v>
      </c>
      <c r="M230" t="s">
        <v>38</v>
      </c>
      <c r="N230" t="str">
        <f t="shared" si="3"/>
        <v/>
      </c>
      <c r="O230" t="s">
        <v>895</v>
      </c>
    </row>
    <row r="231" spans="1:15" x14ac:dyDescent="0.35">
      <c r="A231">
        <v>5421</v>
      </c>
      <c r="B231" t="s">
        <v>74</v>
      </c>
      <c r="C231" t="str">
        <f>IFERROR(VLOOKUP(B231,Branches!A:B, 2, FALSE), B231&amp;"(NOT FOUND)")</f>
        <v>Bodija Branch</v>
      </c>
      <c r="D231" s="1">
        <v>45569</v>
      </c>
      <c r="E231" t="s">
        <v>108</v>
      </c>
      <c r="F231" t="str">
        <f>IFERROR(VLOOKUP(E231, Staff!A:B, 2, FALSE), E231&amp;" (NOT FOUND)")</f>
        <v>Ronke Bakare</v>
      </c>
      <c r="G231" t="s">
        <v>26</v>
      </c>
      <c r="H231" t="s">
        <v>46</v>
      </c>
      <c r="I231">
        <v>2</v>
      </c>
      <c r="J231">
        <v>39906.82</v>
      </c>
      <c r="K231">
        <v>5</v>
      </c>
      <c r="L231" t="s">
        <v>47</v>
      </c>
      <c r="M231" t="s">
        <v>38</v>
      </c>
      <c r="N231">
        <f t="shared" si="3"/>
        <v>75822.957999999999</v>
      </c>
      <c r="O231" t="s">
        <v>896</v>
      </c>
    </row>
    <row r="232" spans="1:15" x14ac:dyDescent="0.35">
      <c r="A232">
        <v>5388</v>
      </c>
      <c r="B232" t="s">
        <v>32</v>
      </c>
      <c r="C232" t="str">
        <f>IFERROR(VLOOKUP(B232,Branches!A:B, 2, FALSE), B232&amp;"(NOT FOUND)")</f>
        <v>Wuse Branch</v>
      </c>
      <c r="D232" s="1">
        <v>45597</v>
      </c>
      <c r="E232" t="s">
        <v>108</v>
      </c>
      <c r="F232" t="str">
        <f>IFERROR(VLOOKUP(E232, Staff!A:B, 2, FALSE), E232&amp;" (NOT FOUND)")</f>
        <v>Ronke Bakare</v>
      </c>
      <c r="G232" t="s">
        <v>26</v>
      </c>
      <c r="H232" t="s">
        <v>112</v>
      </c>
      <c r="I232">
        <v>1</v>
      </c>
      <c r="J232">
        <v>11454.78</v>
      </c>
      <c r="K232">
        <v>0</v>
      </c>
      <c r="L232" t="s">
        <v>20</v>
      </c>
      <c r="M232" t="s">
        <v>84</v>
      </c>
      <c r="N232">
        <f t="shared" si="3"/>
        <v>11454.78</v>
      </c>
      <c r="O232" t="s">
        <v>896</v>
      </c>
    </row>
    <row r="233" spans="1:15" x14ac:dyDescent="0.35">
      <c r="A233">
        <v>5290</v>
      </c>
      <c r="B233" t="s">
        <v>32</v>
      </c>
      <c r="C233" t="str">
        <f>IFERROR(VLOOKUP(B233,Branches!A:B, 2, FALSE), B233&amp;"(NOT FOUND)")</f>
        <v>Wuse Branch</v>
      </c>
      <c r="D233" s="1">
        <v>45450</v>
      </c>
      <c r="E233" t="s">
        <v>51</v>
      </c>
      <c r="F233" t="str">
        <f>IFERROR(VLOOKUP(E233, Staff!A:B, 2, FALSE), E233&amp;" (NOT FOUND)")</f>
        <v>Halima Yusuf</v>
      </c>
      <c r="G233" t="s">
        <v>35</v>
      </c>
      <c r="H233" t="s">
        <v>36</v>
      </c>
      <c r="I233">
        <v>3</v>
      </c>
      <c r="J233" t="s">
        <v>894</v>
      </c>
      <c r="K233">
        <v>15</v>
      </c>
      <c r="L233" t="s">
        <v>47</v>
      </c>
      <c r="M233" t="s">
        <v>84</v>
      </c>
      <c r="N233" t="str">
        <f t="shared" si="3"/>
        <v/>
      </c>
      <c r="O233" t="s">
        <v>895</v>
      </c>
    </row>
    <row r="234" spans="1:15" x14ac:dyDescent="0.35">
      <c r="A234">
        <v>5347</v>
      </c>
      <c r="B234" t="s">
        <v>74</v>
      </c>
      <c r="C234" t="str">
        <f>IFERROR(VLOOKUP(B234,Branches!A:B, 2, FALSE), B234&amp;"(NOT FOUND)")</f>
        <v>Bodija Branch</v>
      </c>
      <c r="D234" s="1">
        <v>45430</v>
      </c>
      <c r="E234" t="s">
        <v>34</v>
      </c>
      <c r="F234" t="str">
        <f>IFERROR(VLOOKUP(E234, Staff!A:B, 2, FALSE), E234&amp;" (NOT FOUND)")</f>
        <v>Funke Ajayi</v>
      </c>
      <c r="G234" t="s">
        <v>35</v>
      </c>
      <c r="H234" t="s">
        <v>36</v>
      </c>
      <c r="I234">
        <v>1</v>
      </c>
      <c r="J234">
        <v>32524.37</v>
      </c>
      <c r="K234">
        <v>15</v>
      </c>
      <c r="L234" t="s">
        <v>20</v>
      </c>
      <c r="M234" t="s">
        <v>38</v>
      </c>
      <c r="N234">
        <f t="shared" si="3"/>
        <v>27645.714499999998</v>
      </c>
      <c r="O234" t="s">
        <v>896</v>
      </c>
    </row>
    <row r="235" spans="1:15" x14ac:dyDescent="0.35">
      <c r="A235">
        <v>5371</v>
      </c>
      <c r="B235" t="s">
        <v>88</v>
      </c>
      <c r="C235" t="str">
        <f>IFERROR(VLOOKUP(B235,Branches!A:B, 2, FALSE), B235&amp;"(NOT FOUND)")</f>
        <v>Lekki Branch</v>
      </c>
      <c r="D235" s="1">
        <v>45492</v>
      </c>
      <c r="E235" t="s">
        <v>25</v>
      </c>
      <c r="F235" t="str">
        <f>IFERROR(VLOOKUP(E235, Staff!A:B, 2, FALSE), E235&amp;" (NOT FOUND)")</f>
        <v>Tobi Adewale</v>
      </c>
      <c r="G235" t="s">
        <v>26</v>
      </c>
      <c r="H235" t="s">
        <v>27</v>
      </c>
      <c r="I235">
        <v>2</v>
      </c>
      <c r="J235" t="s">
        <v>894</v>
      </c>
      <c r="K235" t="s">
        <v>894</v>
      </c>
      <c r="L235" t="s">
        <v>60</v>
      </c>
      <c r="M235" t="s">
        <v>84</v>
      </c>
      <c r="N235" t="str">
        <f t="shared" si="3"/>
        <v/>
      </c>
      <c r="O235" t="s">
        <v>895</v>
      </c>
    </row>
    <row r="236" spans="1:15" x14ac:dyDescent="0.35">
      <c r="A236">
        <v>5127</v>
      </c>
      <c r="B236" t="s">
        <v>102</v>
      </c>
      <c r="C236" t="str">
        <f>IFERROR(VLOOKUP(B236,Branches!A:B, 2, FALSE), B236&amp;"(NOT FOUND)")</f>
        <v>GRA Branch</v>
      </c>
      <c r="D236" s="1">
        <v>45487</v>
      </c>
      <c r="E236" t="s">
        <v>76</v>
      </c>
      <c r="F236" t="str">
        <f>IFERROR(VLOOKUP(E236, Staff!A:B, 2, FALSE), E236&amp;" (NOT FOUND)")</f>
        <v>Chika Nwankwo</v>
      </c>
      <c r="G236" t="s">
        <v>64</v>
      </c>
      <c r="H236" t="s">
        <v>116</v>
      </c>
      <c r="I236">
        <v>5</v>
      </c>
      <c r="J236">
        <v>3674.71</v>
      </c>
      <c r="K236" t="s">
        <v>894</v>
      </c>
      <c r="L236" t="s">
        <v>47</v>
      </c>
      <c r="M236" t="s">
        <v>84</v>
      </c>
      <c r="N236">
        <f t="shared" si="3"/>
        <v>18373.55</v>
      </c>
      <c r="O236" t="s">
        <v>895</v>
      </c>
    </row>
    <row r="237" spans="1:15" x14ac:dyDescent="0.35">
      <c r="A237">
        <v>5020</v>
      </c>
      <c r="B237" t="s">
        <v>74</v>
      </c>
      <c r="C237" t="str">
        <f>IFERROR(VLOOKUP(B237,Branches!A:B, 2, FALSE), B237&amp;"(NOT FOUND)")</f>
        <v>Bodija Branch</v>
      </c>
      <c r="D237" s="1">
        <v>45415</v>
      </c>
      <c r="E237" t="s">
        <v>86</v>
      </c>
      <c r="F237" t="str">
        <f>IFERROR(VLOOKUP(E237, Staff!A:B, 2, FALSE), E237&amp;" (NOT FOUND)")</f>
        <v>Ekene Obi</v>
      </c>
      <c r="G237" t="s">
        <v>64</v>
      </c>
      <c r="H237" t="s">
        <v>116</v>
      </c>
      <c r="I237">
        <v>2</v>
      </c>
      <c r="J237">
        <v>37879.99</v>
      </c>
      <c r="K237">
        <v>15</v>
      </c>
      <c r="L237" t="s">
        <v>60</v>
      </c>
      <c r="M237" t="s">
        <v>38</v>
      </c>
      <c r="N237">
        <f t="shared" si="3"/>
        <v>64395.982999999993</v>
      </c>
      <c r="O237" t="s">
        <v>896</v>
      </c>
    </row>
    <row r="238" spans="1:15" x14ac:dyDescent="0.35">
      <c r="A238">
        <v>5269</v>
      </c>
      <c r="B238" t="s">
        <v>32</v>
      </c>
      <c r="C238" t="str">
        <f>IFERROR(VLOOKUP(B238,Branches!A:B, 2, FALSE), B238&amp;"(NOT FOUND)")</f>
        <v>Wuse Branch</v>
      </c>
      <c r="D238" s="1">
        <v>45485</v>
      </c>
      <c r="E238" t="s">
        <v>76</v>
      </c>
      <c r="F238" t="str">
        <f>IFERROR(VLOOKUP(E238, Staff!A:B, 2, FALSE), E238&amp;" (NOT FOUND)")</f>
        <v>Chika Nwankwo</v>
      </c>
      <c r="G238" t="s">
        <v>35</v>
      </c>
      <c r="H238" t="s">
        <v>58</v>
      </c>
      <c r="I238">
        <v>4</v>
      </c>
      <c r="J238" t="s">
        <v>894</v>
      </c>
      <c r="K238">
        <v>0</v>
      </c>
      <c r="L238" t="s">
        <v>20</v>
      </c>
      <c r="M238" t="s">
        <v>38</v>
      </c>
      <c r="N238" t="str">
        <f t="shared" si="3"/>
        <v/>
      </c>
      <c r="O238" t="s">
        <v>896</v>
      </c>
    </row>
    <row r="239" spans="1:15" x14ac:dyDescent="0.35">
      <c r="A239">
        <v>5377</v>
      </c>
      <c r="B239" t="s">
        <v>129</v>
      </c>
      <c r="C239" t="str">
        <f>IFERROR(VLOOKUP(B239,Branches!A:B, 2, FALSE), B239&amp;"(NOT FOUND)")</f>
        <v>Sabon Gari Branch</v>
      </c>
      <c r="D239" s="1">
        <v>45413</v>
      </c>
      <c r="E239" t="s">
        <v>86</v>
      </c>
      <c r="F239" t="str">
        <f>IFERROR(VLOOKUP(E239, Staff!A:B, 2, FALSE), E239&amp;" (NOT FOUND)")</f>
        <v>Ekene Obi</v>
      </c>
      <c r="G239" t="s">
        <v>35</v>
      </c>
      <c r="H239" t="s">
        <v>99</v>
      </c>
      <c r="I239">
        <v>5</v>
      </c>
      <c r="J239">
        <v>12789.58</v>
      </c>
      <c r="K239">
        <v>15</v>
      </c>
      <c r="L239" t="s">
        <v>20</v>
      </c>
      <c r="M239" t="s">
        <v>38</v>
      </c>
      <c r="N239">
        <f t="shared" si="3"/>
        <v>54355.715000000004</v>
      </c>
      <c r="O239" t="s">
        <v>894</v>
      </c>
    </row>
    <row r="240" spans="1:15" x14ac:dyDescent="0.35">
      <c r="A240">
        <v>5263</v>
      </c>
      <c r="B240" t="s">
        <v>74</v>
      </c>
      <c r="C240" t="str">
        <f>IFERROR(VLOOKUP(B240,Branches!A:B, 2, FALSE), B240&amp;"(NOT FOUND)")</f>
        <v>Bodija Branch</v>
      </c>
      <c r="D240" s="1">
        <v>45377</v>
      </c>
      <c r="E240" t="s">
        <v>57</v>
      </c>
      <c r="F240" t="str">
        <f>IFERROR(VLOOKUP(E240, Staff!A:B, 2, FALSE), E240&amp;" (NOT FOUND)")</f>
        <v>Kelechi Umeh</v>
      </c>
      <c r="G240" t="s">
        <v>16</v>
      </c>
      <c r="H240" t="s">
        <v>109</v>
      </c>
      <c r="I240">
        <v>1</v>
      </c>
      <c r="J240">
        <v>32286.14</v>
      </c>
      <c r="K240">
        <v>5</v>
      </c>
      <c r="L240" t="s">
        <v>60</v>
      </c>
      <c r="M240" t="s">
        <v>84</v>
      </c>
      <c r="N240">
        <f t="shared" si="3"/>
        <v>30671.832999999999</v>
      </c>
      <c r="O240" t="s">
        <v>895</v>
      </c>
    </row>
    <row r="241" spans="1:15" x14ac:dyDescent="0.35">
      <c r="A241">
        <v>5166</v>
      </c>
      <c r="B241" t="s">
        <v>129</v>
      </c>
      <c r="C241" t="str">
        <f>IFERROR(VLOOKUP(B241,Branches!A:B, 2, FALSE), B241&amp;"(NOT FOUND)")</f>
        <v>Sabon Gari Branch</v>
      </c>
      <c r="D241" s="1">
        <v>45517</v>
      </c>
      <c r="E241" t="s">
        <v>51</v>
      </c>
      <c r="F241" t="str">
        <f>IFERROR(VLOOKUP(E241, Staff!A:B, 2, FALSE), E241&amp;" (NOT FOUND)")</f>
        <v>Halima Yusuf</v>
      </c>
      <c r="G241" t="s">
        <v>64</v>
      </c>
      <c r="H241" t="s">
        <v>116</v>
      </c>
      <c r="I241">
        <v>1</v>
      </c>
      <c r="J241">
        <v>6814</v>
      </c>
      <c r="K241">
        <v>15</v>
      </c>
      <c r="L241" t="s">
        <v>60</v>
      </c>
      <c r="M241" t="s">
        <v>38</v>
      </c>
      <c r="N241">
        <f t="shared" si="3"/>
        <v>5791.9</v>
      </c>
      <c r="O241" t="s">
        <v>896</v>
      </c>
    </row>
    <row r="242" spans="1:15" x14ac:dyDescent="0.35">
      <c r="A242">
        <v>5143</v>
      </c>
      <c r="B242" t="s">
        <v>88</v>
      </c>
      <c r="C242" t="str">
        <f>IFERROR(VLOOKUP(B242,Branches!A:B, 2, FALSE), B242&amp;"(NOT FOUND)")</f>
        <v>Lekki Branch</v>
      </c>
      <c r="D242" s="1">
        <v>45372</v>
      </c>
      <c r="E242" t="s">
        <v>15</v>
      </c>
      <c r="F242" t="str">
        <f>IFERROR(VLOOKUP(E242, Staff!A:B, 2, FALSE), E242&amp;" (NOT FOUND)")</f>
        <v>Ibrahim Sani</v>
      </c>
      <c r="G242" t="s">
        <v>16</v>
      </c>
      <c r="H242" t="s">
        <v>42</v>
      </c>
      <c r="I242">
        <v>1</v>
      </c>
      <c r="J242">
        <v>29688.7</v>
      </c>
      <c r="K242" t="s">
        <v>894</v>
      </c>
      <c r="L242" t="s">
        <v>20</v>
      </c>
      <c r="M242" t="s">
        <v>84</v>
      </c>
      <c r="N242">
        <f t="shared" si="3"/>
        <v>29688.7</v>
      </c>
      <c r="O242" t="s">
        <v>895</v>
      </c>
    </row>
    <row r="243" spans="1:15" x14ac:dyDescent="0.35">
      <c r="A243">
        <v>5444</v>
      </c>
      <c r="B243" t="s">
        <v>88</v>
      </c>
      <c r="C243" t="str">
        <f>IFERROR(VLOOKUP(B243,Branches!A:B, 2, FALSE), B243&amp;"(NOT FOUND)")</f>
        <v>Lekki Branch</v>
      </c>
      <c r="D243" s="1">
        <v>45307</v>
      </c>
      <c r="E243" t="s">
        <v>15</v>
      </c>
      <c r="F243" t="str">
        <f>IFERROR(VLOOKUP(E243, Staff!A:B, 2, FALSE), E243&amp;" (NOT FOUND)")</f>
        <v>Ibrahim Sani</v>
      </c>
      <c r="G243" t="s">
        <v>35</v>
      </c>
      <c r="H243" t="s">
        <v>99</v>
      </c>
      <c r="I243">
        <v>3</v>
      </c>
      <c r="J243">
        <v>11524.78</v>
      </c>
      <c r="K243">
        <v>5</v>
      </c>
      <c r="L243" t="s">
        <v>20</v>
      </c>
      <c r="M243" t="s">
        <v>84</v>
      </c>
      <c r="N243">
        <f t="shared" si="3"/>
        <v>32845.623000000007</v>
      </c>
      <c r="O243" t="s">
        <v>896</v>
      </c>
    </row>
    <row r="244" spans="1:15" x14ac:dyDescent="0.35">
      <c r="A244">
        <v>5491</v>
      </c>
      <c r="B244" t="s">
        <v>102</v>
      </c>
      <c r="C244" t="str">
        <f>IFERROR(VLOOKUP(B244,Branches!A:B, 2, FALSE), B244&amp;"(NOT FOUND)")</f>
        <v>GRA Branch</v>
      </c>
      <c r="D244" s="1">
        <v>45454</v>
      </c>
      <c r="E244" t="s">
        <v>51</v>
      </c>
      <c r="F244" t="str">
        <f>IFERROR(VLOOKUP(E244, Staff!A:B, 2, FALSE), E244&amp;" (NOT FOUND)")</f>
        <v>Halima Yusuf</v>
      </c>
      <c r="G244" t="s">
        <v>26</v>
      </c>
      <c r="H244" t="s">
        <v>52</v>
      </c>
      <c r="I244">
        <v>2</v>
      </c>
      <c r="J244">
        <v>9821.76</v>
      </c>
      <c r="K244">
        <v>0</v>
      </c>
      <c r="L244" t="s">
        <v>47</v>
      </c>
      <c r="M244" t="s">
        <v>84</v>
      </c>
      <c r="N244">
        <f t="shared" si="3"/>
        <v>19643.52</v>
      </c>
      <c r="O244" t="s">
        <v>896</v>
      </c>
    </row>
    <row r="245" spans="1:15" x14ac:dyDescent="0.35">
      <c r="A245">
        <v>5003</v>
      </c>
      <c r="B245" t="s">
        <v>32</v>
      </c>
      <c r="C245" t="str">
        <f>IFERROR(VLOOKUP(B245,Branches!A:B, 2, FALSE), B245&amp;"(NOT FOUND)")</f>
        <v>Wuse Branch</v>
      </c>
      <c r="D245" s="1">
        <v>45452</v>
      </c>
      <c r="E245" t="s">
        <v>86</v>
      </c>
      <c r="F245" t="str">
        <f>IFERROR(VLOOKUP(E245, Staff!A:B, 2, FALSE), E245&amp;" (NOT FOUND)")</f>
        <v>Ekene Obi</v>
      </c>
      <c r="G245" t="s">
        <v>64</v>
      </c>
      <c r="H245" t="s">
        <v>133</v>
      </c>
      <c r="I245">
        <v>1</v>
      </c>
      <c r="J245" t="s">
        <v>894</v>
      </c>
      <c r="K245" t="s">
        <v>894</v>
      </c>
      <c r="L245" t="s">
        <v>20</v>
      </c>
      <c r="M245" t="s">
        <v>84</v>
      </c>
      <c r="N245" t="str">
        <f t="shared" si="3"/>
        <v/>
      </c>
      <c r="O245" t="s">
        <v>894</v>
      </c>
    </row>
    <row r="246" spans="1:15" x14ac:dyDescent="0.35">
      <c r="A246">
        <v>5153</v>
      </c>
      <c r="B246" t="s">
        <v>32</v>
      </c>
      <c r="C246" t="str">
        <f>IFERROR(VLOOKUP(B246,Branches!A:B, 2, FALSE), B246&amp;"(NOT FOUND)")</f>
        <v>Wuse Branch</v>
      </c>
      <c r="D246" s="1">
        <v>45336</v>
      </c>
      <c r="E246" t="s">
        <v>25</v>
      </c>
      <c r="F246" t="str">
        <f>IFERROR(VLOOKUP(E246, Staff!A:B, 2, FALSE), E246&amp;" (NOT FOUND)")</f>
        <v>Tobi Adewale</v>
      </c>
      <c r="G246" t="s">
        <v>16</v>
      </c>
      <c r="H246" t="s">
        <v>82</v>
      </c>
      <c r="J246">
        <v>34842.620000000003</v>
      </c>
      <c r="K246">
        <v>0</v>
      </c>
      <c r="L246" t="s">
        <v>20</v>
      </c>
      <c r="M246" t="s">
        <v>84</v>
      </c>
      <c r="N246" t="str">
        <f t="shared" si="3"/>
        <v/>
      </c>
      <c r="O246" t="s">
        <v>895</v>
      </c>
    </row>
    <row r="247" spans="1:15" x14ac:dyDescent="0.35">
      <c r="A247">
        <v>5084</v>
      </c>
      <c r="B247" t="s">
        <v>102</v>
      </c>
      <c r="C247" t="str">
        <f>IFERROR(VLOOKUP(B247,Branches!A:B, 2, FALSE), B247&amp;"(NOT FOUND)")</f>
        <v>GRA Branch</v>
      </c>
      <c r="D247" s="1">
        <v>45497</v>
      </c>
      <c r="E247" t="s">
        <v>86</v>
      </c>
      <c r="F247" t="str">
        <f>IFERROR(VLOOKUP(E247, Staff!A:B, 2, FALSE), E247&amp;" (NOT FOUND)")</f>
        <v>Ekene Obi</v>
      </c>
      <c r="G247" t="s">
        <v>26</v>
      </c>
      <c r="H247" t="s">
        <v>52</v>
      </c>
      <c r="J247">
        <v>34623.019999999997</v>
      </c>
      <c r="K247" t="s">
        <v>894</v>
      </c>
      <c r="L247" t="s">
        <v>47</v>
      </c>
      <c r="M247" t="s">
        <v>38</v>
      </c>
      <c r="N247" t="str">
        <f t="shared" si="3"/>
        <v/>
      </c>
      <c r="O247" t="s">
        <v>896</v>
      </c>
    </row>
    <row r="248" spans="1:15" x14ac:dyDescent="0.35">
      <c r="A248">
        <v>5140</v>
      </c>
      <c r="B248" t="s">
        <v>32</v>
      </c>
      <c r="C248" t="str">
        <f>IFERROR(VLOOKUP(B248,Branches!A:B, 2, FALSE), B248&amp;"(NOT FOUND)")</f>
        <v>Wuse Branch</v>
      </c>
      <c r="D248" s="1">
        <v>45510</v>
      </c>
      <c r="E248" t="s">
        <v>51</v>
      </c>
      <c r="F248" t="str">
        <f>IFERROR(VLOOKUP(E248, Staff!A:B, 2, FALSE), E248&amp;" (NOT FOUND)")</f>
        <v>Halima Yusuf</v>
      </c>
      <c r="G248" t="s">
        <v>26</v>
      </c>
      <c r="H248" t="s">
        <v>112</v>
      </c>
      <c r="I248">
        <v>2</v>
      </c>
      <c r="J248">
        <v>4412.87</v>
      </c>
      <c r="K248" t="s">
        <v>894</v>
      </c>
      <c r="L248" t="s">
        <v>47</v>
      </c>
      <c r="M248" t="s">
        <v>38</v>
      </c>
      <c r="N248">
        <f t="shared" si="3"/>
        <v>8825.74</v>
      </c>
      <c r="O248" t="s">
        <v>896</v>
      </c>
    </row>
    <row r="249" spans="1:15" x14ac:dyDescent="0.35">
      <c r="A249">
        <v>5230</v>
      </c>
      <c r="B249" t="s">
        <v>88</v>
      </c>
      <c r="C249" t="str">
        <f>IFERROR(VLOOKUP(B249,Branches!A:B, 2, FALSE), B249&amp;"(NOT FOUND)")</f>
        <v>Lekki Branch</v>
      </c>
      <c r="D249" s="1">
        <v>45308</v>
      </c>
      <c r="E249" t="s">
        <v>108</v>
      </c>
      <c r="F249" t="str">
        <f>IFERROR(VLOOKUP(E249, Staff!A:B, 2, FALSE), E249&amp;" (NOT FOUND)")</f>
        <v>Ronke Bakare</v>
      </c>
      <c r="G249" t="s">
        <v>26</v>
      </c>
      <c r="H249" t="s">
        <v>27</v>
      </c>
      <c r="I249">
        <v>4</v>
      </c>
      <c r="J249">
        <v>6989.44</v>
      </c>
      <c r="K249">
        <v>0</v>
      </c>
      <c r="L249" t="s">
        <v>60</v>
      </c>
      <c r="M249" t="s">
        <v>84</v>
      </c>
      <c r="N249">
        <f t="shared" si="3"/>
        <v>27957.759999999998</v>
      </c>
      <c r="O249" t="s">
        <v>895</v>
      </c>
    </row>
    <row r="250" spans="1:15" x14ac:dyDescent="0.35">
      <c r="A250">
        <v>5336</v>
      </c>
      <c r="B250" t="s">
        <v>74</v>
      </c>
      <c r="C250" t="str">
        <f>IFERROR(VLOOKUP(B250,Branches!A:B, 2, FALSE), B250&amp;"(NOT FOUND)")</f>
        <v>Bodija Branch</v>
      </c>
      <c r="D250" s="1">
        <v>45520</v>
      </c>
      <c r="E250" t="s">
        <v>51</v>
      </c>
      <c r="F250" t="str">
        <f>IFERROR(VLOOKUP(E250, Staff!A:B, 2, FALSE), E250&amp;" (NOT FOUND)")</f>
        <v>Halima Yusuf</v>
      </c>
      <c r="G250" t="s">
        <v>35</v>
      </c>
      <c r="H250" t="s">
        <v>155</v>
      </c>
      <c r="I250">
        <v>3</v>
      </c>
      <c r="J250">
        <v>34074.730000000003</v>
      </c>
      <c r="K250">
        <v>15</v>
      </c>
      <c r="L250" t="s">
        <v>47</v>
      </c>
      <c r="M250" t="s">
        <v>38</v>
      </c>
      <c r="N250">
        <f t="shared" si="3"/>
        <v>86890.561499999996</v>
      </c>
      <c r="O250" t="s">
        <v>896</v>
      </c>
    </row>
    <row r="251" spans="1:15" x14ac:dyDescent="0.35">
      <c r="A251">
        <v>5296</v>
      </c>
      <c r="B251" t="s">
        <v>32</v>
      </c>
      <c r="C251" t="str">
        <f>IFERROR(VLOOKUP(B251,Branches!A:B, 2, FALSE), B251&amp;"(NOT FOUND)")</f>
        <v>Wuse Branch</v>
      </c>
      <c r="D251" s="1">
        <v>45466</v>
      </c>
      <c r="E251" t="s">
        <v>108</v>
      </c>
      <c r="F251" t="str">
        <f>IFERROR(VLOOKUP(E251, Staff!A:B, 2, FALSE), E251&amp;" (NOT FOUND)")</f>
        <v>Ronke Bakare</v>
      </c>
      <c r="G251" t="s">
        <v>16</v>
      </c>
      <c r="H251" t="s">
        <v>82</v>
      </c>
      <c r="I251">
        <v>2</v>
      </c>
      <c r="J251">
        <v>1730.79</v>
      </c>
      <c r="K251" t="s">
        <v>894</v>
      </c>
      <c r="L251" t="s">
        <v>47</v>
      </c>
      <c r="M251" t="s">
        <v>38</v>
      </c>
      <c r="N251">
        <f t="shared" si="3"/>
        <v>3461.58</v>
      </c>
      <c r="O251" t="s">
        <v>896</v>
      </c>
    </row>
    <row r="252" spans="1:15" x14ac:dyDescent="0.35">
      <c r="A252">
        <v>5489</v>
      </c>
      <c r="B252" t="s">
        <v>88</v>
      </c>
      <c r="C252" t="str">
        <f>IFERROR(VLOOKUP(B252,Branches!A:B, 2, FALSE), B252&amp;"(NOT FOUND)")</f>
        <v>Lekki Branch</v>
      </c>
      <c r="D252" s="1">
        <v>45395</v>
      </c>
      <c r="E252" t="s">
        <v>86</v>
      </c>
      <c r="F252" t="str">
        <f>IFERROR(VLOOKUP(E252, Staff!A:B, 2, FALSE), E252&amp;" (NOT FOUND)")</f>
        <v>Ekene Obi</v>
      </c>
      <c r="G252" t="s">
        <v>26</v>
      </c>
      <c r="H252" t="s">
        <v>167</v>
      </c>
      <c r="I252">
        <v>4</v>
      </c>
      <c r="J252" t="s">
        <v>894</v>
      </c>
      <c r="K252">
        <v>5</v>
      </c>
      <c r="L252" t="s">
        <v>20</v>
      </c>
      <c r="M252" t="s">
        <v>84</v>
      </c>
      <c r="N252" t="str">
        <f t="shared" si="3"/>
        <v/>
      </c>
      <c r="O252" t="s">
        <v>896</v>
      </c>
    </row>
    <row r="253" spans="1:15" x14ac:dyDescent="0.35">
      <c r="A253">
        <v>5135</v>
      </c>
      <c r="B253" t="s">
        <v>129</v>
      </c>
      <c r="C253" t="str">
        <f>IFERROR(VLOOKUP(B253,Branches!A:B, 2, FALSE), B253&amp;"(NOT FOUND)")</f>
        <v>Sabon Gari Branch</v>
      </c>
      <c r="D253" s="1">
        <v>45462</v>
      </c>
      <c r="E253" t="s">
        <v>86</v>
      </c>
      <c r="F253" t="str">
        <f>IFERROR(VLOOKUP(E253, Staff!A:B, 2, FALSE), E253&amp;" (NOT FOUND)")</f>
        <v>Ekene Obi</v>
      </c>
      <c r="G253" t="s">
        <v>26</v>
      </c>
      <c r="H253" t="s">
        <v>52</v>
      </c>
      <c r="I253">
        <v>3</v>
      </c>
      <c r="J253" t="s">
        <v>894</v>
      </c>
      <c r="K253">
        <v>15</v>
      </c>
      <c r="L253" t="s">
        <v>47</v>
      </c>
      <c r="M253" t="s">
        <v>38</v>
      </c>
      <c r="N253" t="str">
        <f t="shared" si="3"/>
        <v/>
      </c>
      <c r="O253" t="s">
        <v>896</v>
      </c>
    </row>
    <row r="254" spans="1:15" x14ac:dyDescent="0.35">
      <c r="A254">
        <v>5095</v>
      </c>
      <c r="B254" t="s">
        <v>32</v>
      </c>
      <c r="C254" t="str">
        <f>IFERROR(VLOOKUP(B254,Branches!A:B, 2, FALSE), B254&amp;"(NOT FOUND)")</f>
        <v>Wuse Branch</v>
      </c>
      <c r="D254" s="1">
        <v>45335</v>
      </c>
      <c r="E254" t="s">
        <v>34</v>
      </c>
      <c r="F254" t="str">
        <f>IFERROR(VLOOKUP(E254, Staff!A:B, 2, FALSE), E254&amp;" (NOT FOUND)")</f>
        <v>Funke Ajayi</v>
      </c>
      <c r="G254" t="s">
        <v>26</v>
      </c>
      <c r="H254" t="s">
        <v>52</v>
      </c>
      <c r="J254">
        <v>36051.629999999997</v>
      </c>
      <c r="K254">
        <v>0</v>
      </c>
      <c r="L254" t="s">
        <v>60</v>
      </c>
      <c r="M254" t="s">
        <v>84</v>
      </c>
      <c r="N254" t="str">
        <f t="shared" si="3"/>
        <v/>
      </c>
      <c r="O254" t="s">
        <v>895</v>
      </c>
    </row>
    <row r="255" spans="1:15" x14ac:dyDescent="0.35">
      <c r="A255">
        <v>5156</v>
      </c>
      <c r="B255" t="s">
        <v>88</v>
      </c>
      <c r="C255" t="str">
        <f>IFERROR(VLOOKUP(B255,Branches!A:B, 2, FALSE), B255&amp;"(NOT FOUND)")</f>
        <v>Lekki Branch</v>
      </c>
      <c r="D255" s="1">
        <v>45451</v>
      </c>
      <c r="E255" t="s">
        <v>34</v>
      </c>
      <c r="F255" t="str">
        <f>IFERROR(VLOOKUP(E255, Staff!A:B, 2, FALSE), E255&amp;" (NOT FOUND)")</f>
        <v>Funke Ajayi</v>
      </c>
      <c r="G255" t="s">
        <v>35</v>
      </c>
      <c r="H255" t="s">
        <v>155</v>
      </c>
      <c r="I255">
        <v>5</v>
      </c>
      <c r="J255">
        <v>7709.58</v>
      </c>
      <c r="K255">
        <v>5</v>
      </c>
      <c r="L255" t="s">
        <v>60</v>
      </c>
      <c r="M255" t="s">
        <v>84</v>
      </c>
      <c r="N255">
        <f t="shared" si="3"/>
        <v>36620.505000000005</v>
      </c>
      <c r="O255" t="s">
        <v>896</v>
      </c>
    </row>
    <row r="256" spans="1:15" x14ac:dyDescent="0.35">
      <c r="A256">
        <v>5080</v>
      </c>
      <c r="B256" t="s">
        <v>88</v>
      </c>
      <c r="C256" t="str">
        <f>IFERROR(VLOOKUP(B256,Branches!A:B, 2, FALSE), B256&amp;"(NOT FOUND)")</f>
        <v>Lekki Branch</v>
      </c>
      <c r="D256" s="1">
        <v>45397</v>
      </c>
      <c r="E256" t="s">
        <v>76</v>
      </c>
      <c r="F256" t="str">
        <f>IFERROR(VLOOKUP(E256, Staff!A:B, 2, FALSE), E256&amp;" (NOT FOUND)")</f>
        <v>Chika Nwankwo</v>
      </c>
      <c r="G256" t="s">
        <v>16</v>
      </c>
      <c r="H256" t="s">
        <v>170</v>
      </c>
      <c r="I256">
        <v>5</v>
      </c>
      <c r="J256">
        <v>34398.699999999997</v>
      </c>
      <c r="K256" t="s">
        <v>894</v>
      </c>
      <c r="L256" t="s">
        <v>60</v>
      </c>
      <c r="M256" t="s">
        <v>38</v>
      </c>
      <c r="N256">
        <f t="shared" si="3"/>
        <v>171993.5</v>
      </c>
      <c r="O256" t="s">
        <v>896</v>
      </c>
    </row>
    <row r="257" spans="1:15" x14ac:dyDescent="0.35">
      <c r="A257">
        <v>5218</v>
      </c>
      <c r="B257" t="s">
        <v>102</v>
      </c>
      <c r="C257" t="str">
        <f>IFERROR(VLOOKUP(B257,Branches!A:B, 2, FALSE), B257&amp;"(NOT FOUND)")</f>
        <v>GRA Branch</v>
      </c>
      <c r="D257" s="1">
        <v>45408</v>
      </c>
      <c r="E257" t="s">
        <v>108</v>
      </c>
      <c r="F257" t="str">
        <f>IFERROR(VLOOKUP(E257, Staff!A:B, 2, FALSE), E257&amp;" (NOT FOUND)")</f>
        <v>Ronke Bakare</v>
      </c>
      <c r="G257" t="s">
        <v>16</v>
      </c>
      <c r="H257" t="s">
        <v>109</v>
      </c>
      <c r="I257">
        <v>3</v>
      </c>
      <c r="J257">
        <v>27101.08</v>
      </c>
      <c r="K257">
        <v>5</v>
      </c>
      <c r="L257" t="s">
        <v>20</v>
      </c>
      <c r="M257" t="s">
        <v>84</v>
      </c>
      <c r="N257">
        <f t="shared" si="3"/>
        <v>77238.078000000009</v>
      </c>
      <c r="O257" t="s">
        <v>895</v>
      </c>
    </row>
    <row r="258" spans="1:15" x14ac:dyDescent="0.35">
      <c r="A258">
        <v>5200</v>
      </c>
      <c r="B258" t="s">
        <v>74</v>
      </c>
      <c r="C258" t="str">
        <f>IFERROR(VLOOKUP(B258,Branches!A:B, 2, FALSE), B258&amp;"(NOT FOUND)")</f>
        <v>Bodija Branch</v>
      </c>
      <c r="D258" s="1">
        <v>45427</v>
      </c>
      <c r="E258" t="s">
        <v>57</v>
      </c>
      <c r="F258" t="str">
        <f>IFERROR(VLOOKUP(E258, Staff!A:B, 2, FALSE), E258&amp;" (NOT FOUND)")</f>
        <v>Kelechi Umeh</v>
      </c>
      <c r="G258" t="s">
        <v>64</v>
      </c>
      <c r="H258" t="s">
        <v>133</v>
      </c>
      <c r="I258">
        <v>5</v>
      </c>
      <c r="J258">
        <v>12355.22</v>
      </c>
      <c r="K258">
        <v>10</v>
      </c>
      <c r="L258" t="s">
        <v>20</v>
      </c>
      <c r="M258" t="s">
        <v>84</v>
      </c>
      <c r="N258">
        <f t="shared" si="3"/>
        <v>55598.49</v>
      </c>
      <c r="O258" t="s">
        <v>896</v>
      </c>
    </row>
    <row r="259" spans="1:15" x14ac:dyDescent="0.35">
      <c r="A259">
        <v>5110</v>
      </c>
      <c r="B259" t="s">
        <v>74</v>
      </c>
      <c r="C259" t="str">
        <f>IFERROR(VLOOKUP(B259,Branches!A:B, 2, FALSE), B259&amp;"(NOT FOUND)")</f>
        <v>Bodija Branch</v>
      </c>
      <c r="D259" s="1">
        <v>45490</v>
      </c>
      <c r="E259" t="s">
        <v>76</v>
      </c>
      <c r="F259" t="str">
        <f>IFERROR(VLOOKUP(E259, Staff!A:B, 2, FALSE), E259&amp;" (NOT FOUND)")</f>
        <v>Chika Nwankwo</v>
      </c>
      <c r="G259" t="s">
        <v>64</v>
      </c>
      <c r="H259" t="s">
        <v>116</v>
      </c>
      <c r="I259">
        <v>1</v>
      </c>
      <c r="J259">
        <v>37492.33</v>
      </c>
      <c r="K259" t="s">
        <v>894</v>
      </c>
      <c r="L259" t="s">
        <v>60</v>
      </c>
      <c r="M259" t="s">
        <v>38</v>
      </c>
      <c r="N259">
        <f t="shared" ref="N259:N322" si="4">IF(OR(I259="",J259=""),"",IF(OR(K259="", K259=0), I259*J259, (I259*J259)-(K259/100)*I259*J259))</f>
        <v>37492.33</v>
      </c>
      <c r="O259" t="s">
        <v>895</v>
      </c>
    </row>
    <row r="260" spans="1:15" x14ac:dyDescent="0.35">
      <c r="A260">
        <v>5370</v>
      </c>
      <c r="B260" t="s">
        <v>88</v>
      </c>
      <c r="C260" t="str">
        <f>IFERROR(VLOOKUP(B260,Branches!A:B, 2, FALSE), B260&amp;"(NOT FOUND)")</f>
        <v>Lekki Branch</v>
      </c>
      <c r="D260" s="1">
        <v>45503</v>
      </c>
      <c r="E260" t="s">
        <v>25</v>
      </c>
      <c r="F260" t="str">
        <f>IFERROR(VLOOKUP(E260, Staff!A:B, 2, FALSE), E260&amp;" (NOT FOUND)")</f>
        <v>Tobi Adewale</v>
      </c>
      <c r="G260" t="s">
        <v>64</v>
      </c>
      <c r="H260" t="s">
        <v>141</v>
      </c>
      <c r="I260">
        <v>3</v>
      </c>
      <c r="J260">
        <v>22276.38</v>
      </c>
      <c r="K260">
        <v>15</v>
      </c>
      <c r="L260" t="s">
        <v>47</v>
      </c>
      <c r="M260" t="s">
        <v>38</v>
      </c>
      <c r="N260">
        <f t="shared" si="4"/>
        <v>56804.769</v>
      </c>
      <c r="O260" t="s">
        <v>896</v>
      </c>
    </row>
    <row r="261" spans="1:15" x14ac:dyDescent="0.35">
      <c r="A261">
        <v>5126</v>
      </c>
      <c r="B261" t="s">
        <v>88</v>
      </c>
      <c r="C261" t="str">
        <f>IFERROR(VLOOKUP(B261,Branches!A:B, 2, FALSE), B261&amp;"(NOT FOUND)")</f>
        <v>Lekki Branch</v>
      </c>
      <c r="D261" s="1">
        <v>45479</v>
      </c>
      <c r="E261" t="s">
        <v>15</v>
      </c>
      <c r="F261" t="str">
        <f>IFERROR(VLOOKUP(E261, Staff!A:B, 2, FALSE), E261&amp;" (NOT FOUND)")</f>
        <v>Ibrahim Sani</v>
      </c>
      <c r="G261" t="s">
        <v>64</v>
      </c>
      <c r="H261" t="s">
        <v>77</v>
      </c>
      <c r="I261">
        <v>4</v>
      </c>
      <c r="J261">
        <v>41004.61</v>
      </c>
      <c r="K261">
        <v>5</v>
      </c>
      <c r="L261" t="s">
        <v>20</v>
      </c>
      <c r="M261" t="s">
        <v>84</v>
      </c>
      <c r="N261">
        <f t="shared" si="4"/>
        <v>155817.51800000001</v>
      </c>
      <c r="O261" t="s">
        <v>894</v>
      </c>
    </row>
    <row r="262" spans="1:15" x14ac:dyDescent="0.35">
      <c r="A262">
        <v>5027</v>
      </c>
      <c r="B262" t="s">
        <v>74</v>
      </c>
      <c r="C262" t="str">
        <f>IFERROR(VLOOKUP(B262,Branches!A:B, 2, FALSE), B262&amp;"(NOT FOUND)")</f>
        <v>Bodija Branch</v>
      </c>
      <c r="D262" s="1">
        <v>45393</v>
      </c>
      <c r="E262" t="s">
        <v>108</v>
      </c>
      <c r="F262" t="str">
        <f>IFERROR(VLOOKUP(E262, Staff!A:B, 2, FALSE), E262&amp;" (NOT FOUND)")</f>
        <v>Ronke Bakare</v>
      </c>
      <c r="G262" t="s">
        <v>16</v>
      </c>
      <c r="H262" t="s">
        <v>17</v>
      </c>
      <c r="I262">
        <v>5</v>
      </c>
      <c r="J262">
        <v>37640.32</v>
      </c>
      <c r="K262" t="s">
        <v>894</v>
      </c>
      <c r="L262" t="s">
        <v>47</v>
      </c>
      <c r="M262" t="s">
        <v>38</v>
      </c>
      <c r="N262">
        <f t="shared" si="4"/>
        <v>188201.60000000001</v>
      </c>
      <c r="O262" t="s">
        <v>895</v>
      </c>
    </row>
    <row r="263" spans="1:15" x14ac:dyDescent="0.35">
      <c r="A263">
        <v>5275</v>
      </c>
      <c r="B263" t="s">
        <v>102</v>
      </c>
      <c r="C263" t="str">
        <f>IFERROR(VLOOKUP(B263,Branches!A:B, 2, FALSE), B263&amp;"(NOT FOUND)")</f>
        <v>GRA Branch</v>
      </c>
      <c r="D263" s="1">
        <v>45543</v>
      </c>
      <c r="E263" t="s">
        <v>25</v>
      </c>
      <c r="F263" t="str">
        <f>IFERROR(VLOOKUP(E263, Staff!A:B, 2, FALSE), E263&amp;" (NOT FOUND)")</f>
        <v>Tobi Adewale</v>
      </c>
      <c r="G263" t="s">
        <v>26</v>
      </c>
      <c r="H263" t="s">
        <v>167</v>
      </c>
      <c r="I263">
        <v>1</v>
      </c>
      <c r="J263">
        <v>16516.439999999999</v>
      </c>
      <c r="K263">
        <v>15</v>
      </c>
      <c r="L263" t="s">
        <v>47</v>
      </c>
      <c r="M263" t="s">
        <v>84</v>
      </c>
      <c r="N263">
        <f t="shared" si="4"/>
        <v>14038.973999999998</v>
      </c>
      <c r="O263" t="s">
        <v>894</v>
      </c>
    </row>
    <row r="264" spans="1:15" x14ac:dyDescent="0.35">
      <c r="A264">
        <v>5455</v>
      </c>
      <c r="B264" t="s">
        <v>32</v>
      </c>
      <c r="C264" t="str">
        <f>IFERROR(VLOOKUP(B264,Branches!A:B, 2, FALSE), B264&amp;"(NOT FOUND)")</f>
        <v>Wuse Branch</v>
      </c>
      <c r="D264" s="1">
        <v>45497</v>
      </c>
      <c r="E264" t="s">
        <v>25</v>
      </c>
      <c r="F264" t="str">
        <f>IFERROR(VLOOKUP(E264, Staff!A:B, 2, FALSE), E264&amp;" (NOT FOUND)")</f>
        <v>Tobi Adewale</v>
      </c>
      <c r="G264" t="s">
        <v>64</v>
      </c>
      <c r="H264" t="s">
        <v>65</v>
      </c>
      <c r="J264">
        <v>37632.79</v>
      </c>
      <c r="K264">
        <v>5</v>
      </c>
      <c r="L264" t="s">
        <v>47</v>
      </c>
      <c r="M264" t="s">
        <v>38</v>
      </c>
      <c r="N264" t="str">
        <f t="shared" si="4"/>
        <v/>
      </c>
      <c r="O264" t="s">
        <v>896</v>
      </c>
    </row>
    <row r="265" spans="1:15" x14ac:dyDescent="0.35">
      <c r="A265">
        <v>5125</v>
      </c>
      <c r="B265" t="s">
        <v>88</v>
      </c>
      <c r="C265" t="str">
        <f>IFERROR(VLOOKUP(B265,Branches!A:B, 2, FALSE), B265&amp;"(NOT FOUND)")</f>
        <v>Lekki Branch</v>
      </c>
      <c r="D265" s="1">
        <v>45353</v>
      </c>
      <c r="E265" t="s">
        <v>108</v>
      </c>
      <c r="F265" t="str">
        <f>IFERROR(VLOOKUP(E265, Staff!A:B, 2, FALSE), E265&amp;" (NOT FOUND)")</f>
        <v>Ronke Bakare</v>
      </c>
      <c r="G265" t="s">
        <v>64</v>
      </c>
      <c r="H265" t="s">
        <v>65</v>
      </c>
      <c r="I265">
        <v>5</v>
      </c>
      <c r="J265">
        <v>30310.53</v>
      </c>
      <c r="K265" t="s">
        <v>894</v>
      </c>
      <c r="L265" t="s">
        <v>47</v>
      </c>
      <c r="M265" t="s">
        <v>38</v>
      </c>
      <c r="N265">
        <f t="shared" si="4"/>
        <v>151552.65</v>
      </c>
      <c r="O265" t="s">
        <v>896</v>
      </c>
    </row>
    <row r="266" spans="1:15" x14ac:dyDescent="0.35">
      <c r="A266">
        <v>5400</v>
      </c>
      <c r="B266" t="s">
        <v>32</v>
      </c>
      <c r="C266" t="str">
        <f>IFERROR(VLOOKUP(B266,Branches!A:B, 2, FALSE), B266&amp;"(NOT FOUND)")</f>
        <v>Wuse Branch</v>
      </c>
      <c r="D266" s="1">
        <v>45409</v>
      </c>
      <c r="E266" t="s">
        <v>34</v>
      </c>
      <c r="F266" t="str">
        <f>IFERROR(VLOOKUP(E266, Staff!A:B, 2, FALSE), E266&amp;" (NOT FOUND)")</f>
        <v>Funke Ajayi</v>
      </c>
      <c r="G266" t="s">
        <v>16</v>
      </c>
      <c r="H266" t="s">
        <v>82</v>
      </c>
      <c r="I266">
        <v>4</v>
      </c>
      <c r="J266">
        <v>23074.799999999999</v>
      </c>
      <c r="K266">
        <v>5</v>
      </c>
      <c r="L266" t="s">
        <v>20</v>
      </c>
      <c r="M266" t="s">
        <v>84</v>
      </c>
      <c r="N266">
        <f t="shared" si="4"/>
        <v>87684.239999999991</v>
      </c>
      <c r="O266" t="s">
        <v>895</v>
      </c>
    </row>
    <row r="267" spans="1:15" x14ac:dyDescent="0.35">
      <c r="A267">
        <v>5063</v>
      </c>
      <c r="B267" t="s">
        <v>102</v>
      </c>
      <c r="C267" t="str">
        <f>IFERROR(VLOOKUP(B267,Branches!A:B, 2, FALSE), B267&amp;"(NOT FOUND)")</f>
        <v>GRA Branch</v>
      </c>
      <c r="D267" s="1">
        <v>45539</v>
      </c>
      <c r="E267" t="s">
        <v>15</v>
      </c>
      <c r="F267" t="str">
        <f>IFERROR(VLOOKUP(E267, Staff!A:B, 2, FALSE), E267&amp;" (NOT FOUND)")</f>
        <v>Ibrahim Sani</v>
      </c>
      <c r="G267" t="s">
        <v>64</v>
      </c>
      <c r="H267" t="s">
        <v>65</v>
      </c>
      <c r="I267">
        <v>1</v>
      </c>
      <c r="J267">
        <v>5341.28</v>
      </c>
      <c r="K267">
        <v>0</v>
      </c>
      <c r="L267" t="s">
        <v>20</v>
      </c>
      <c r="M267" t="s">
        <v>84</v>
      </c>
      <c r="N267">
        <f t="shared" si="4"/>
        <v>5341.28</v>
      </c>
      <c r="O267" t="s">
        <v>896</v>
      </c>
    </row>
    <row r="268" spans="1:15" x14ac:dyDescent="0.35">
      <c r="A268">
        <v>5449</v>
      </c>
      <c r="B268" t="s">
        <v>129</v>
      </c>
      <c r="C268" t="str">
        <f>IFERROR(VLOOKUP(B268,Branches!A:B, 2, FALSE), B268&amp;"(NOT FOUND)")</f>
        <v>Sabon Gari Branch</v>
      </c>
      <c r="D268" s="1">
        <v>45298</v>
      </c>
      <c r="E268" t="s">
        <v>76</v>
      </c>
      <c r="F268" t="str">
        <f>IFERROR(VLOOKUP(E268, Staff!A:B, 2, FALSE), E268&amp;" (NOT FOUND)")</f>
        <v>Chika Nwankwo</v>
      </c>
      <c r="G268" t="s">
        <v>64</v>
      </c>
      <c r="H268" t="s">
        <v>141</v>
      </c>
      <c r="I268">
        <v>5</v>
      </c>
      <c r="J268">
        <v>5006.9399999999996</v>
      </c>
      <c r="K268">
        <v>0</v>
      </c>
      <c r="L268" t="s">
        <v>20</v>
      </c>
      <c r="M268" t="s">
        <v>84</v>
      </c>
      <c r="N268">
        <f t="shared" si="4"/>
        <v>25034.699999999997</v>
      </c>
      <c r="O268" t="s">
        <v>895</v>
      </c>
    </row>
    <row r="269" spans="1:15" x14ac:dyDescent="0.35">
      <c r="A269">
        <v>5392</v>
      </c>
      <c r="B269" t="s">
        <v>129</v>
      </c>
      <c r="C269" t="str">
        <f>IFERROR(VLOOKUP(B269,Branches!A:B, 2, FALSE), B269&amp;"(NOT FOUND)")</f>
        <v>Sabon Gari Branch</v>
      </c>
      <c r="D269" s="1">
        <v>45503</v>
      </c>
      <c r="E269" t="s">
        <v>51</v>
      </c>
      <c r="F269" t="str">
        <f>IFERROR(VLOOKUP(E269, Staff!A:B, 2, FALSE), E269&amp;" (NOT FOUND)")</f>
        <v>Halima Yusuf</v>
      </c>
      <c r="G269" t="s">
        <v>16</v>
      </c>
      <c r="H269" t="s">
        <v>109</v>
      </c>
      <c r="I269">
        <v>1</v>
      </c>
      <c r="J269" t="s">
        <v>894</v>
      </c>
      <c r="K269">
        <v>15</v>
      </c>
      <c r="L269" t="s">
        <v>60</v>
      </c>
      <c r="M269" t="s">
        <v>84</v>
      </c>
      <c r="N269" t="str">
        <f t="shared" si="4"/>
        <v/>
      </c>
      <c r="O269" t="s">
        <v>896</v>
      </c>
    </row>
    <row r="270" spans="1:15" x14ac:dyDescent="0.35">
      <c r="A270">
        <v>5149</v>
      </c>
      <c r="B270" t="s">
        <v>74</v>
      </c>
      <c r="C270" t="str">
        <f>IFERROR(VLOOKUP(B270,Branches!A:B, 2, FALSE), B270&amp;"(NOT FOUND)")</f>
        <v>Bodija Branch</v>
      </c>
      <c r="D270" s="1">
        <v>45477</v>
      </c>
      <c r="E270" t="s">
        <v>57</v>
      </c>
      <c r="F270" t="str">
        <f>IFERROR(VLOOKUP(E270, Staff!A:B, 2, FALSE), E270&amp;" (NOT FOUND)")</f>
        <v>Kelechi Umeh</v>
      </c>
      <c r="G270" t="s">
        <v>26</v>
      </c>
      <c r="H270" t="s">
        <v>167</v>
      </c>
      <c r="I270">
        <v>2</v>
      </c>
      <c r="J270" t="s">
        <v>894</v>
      </c>
      <c r="K270">
        <v>5</v>
      </c>
      <c r="L270" t="s">
        <v>20</v>
      </c>
      <c r="M270" t="s">
        <v>38</v>
      </c>
      <c r="N270" t="str">
        <f t="shared" si="4"/>
        <v/>
      </c>
      <c r="O270" t="s">
        <v>895</v>
      </c>
    </row>
    <row r="271" spans="1:15" x14ac:dyDescent="0.35">
      <c r="A271">
        <v>5287</v>
      </c>
      <c r="B271" t="s">
        <v>88</v>
      </c>
      <c r="C271" t="str">
        <f>IFERROR(VLOOKUP(B271,Branches!A:B, 2, FALSE), B271&amp;"(NOT FOUND)")</f>
        <v>Lekki Branch</v>
      </c>
      <c r="D271" s="1">
        <v>45508</v>
      </c>
      <c r="E271" t="s">
        <v>34</v>
      </c>
      <c r="F271" t="str">
        <f>IFERROR(VLOOKUP(E271, Staff!A:B, 2, FALSE), E271&amp;" (NOT FOUND)")</f>
        <v>Funke Ajayi</v>
      </c>
      <c r="G271" t="s">
        <v>35</v>
      </c>
      <c r="H271" t="s">
        <v>36</v>
      </c>
      <c r="I271">
        <v>4</v>
      </c>
      <c r="J271">
        <v>6777.39</v>
      </c>
      <c r="K271" t="s">
        <v>894</v>
      </c>
      <c r="L271" t="s">
        <v>20</v>
      </c>
      <c r="M271" t="s">
        <v>84</v>
      </c>
      <c r="N271">
        <f t="shared" si="4"/>
        <v>27109.56</v>
      </c>
      <c r="O271" t="s">
        <v>895</v>
      </c>
    </row>
    <row r="272" spans="1:15" x14ac:dyDescent="0.35">
      <c r="A272">
        <v>5051</v>
      </c>
      <c r="B272" t="s">
        <v>88</v>
      </c>
      <c r="C272" t="str">
        <f>IFERROR(VLOOKUP(B272,Branches!A:B, 2, FALSE), B272&amp;"(NOT FOUND)")</f>
        <v>Lekki Branch</v>
      </c>
      <c r="D272" s="1">
        <v>45520</v>
      </c>
      <c r="E272" t="s">
        <v>86</v>
      </c>
      <c r="F272" t="str">
        <f>IFERROR(VLOOKUP(E272, Staff!A:B, 2, FALSE), E272&amp;" (NOT FOUND)")</f>
        <v>Ekene Obi</v>
      </c>
      <c r="G272" t="s">
        <v>26</v>
      </c>
      <c r="H272" t="s">
        <v>46</v>
      </c>
      <c r="I272">
        <v>3</v>
      </c>
      <c r="J272">
        <v>37079.360000000001</v>
      </c>
      <c r="K272" t="s">
        <v>894</v>
      </c>
      <c r="L272" t="s">
        <v>60</v>
      </c>
      <c r="M272" t="s">
        <v>38</v>
      </c>
      <c r="N272">
        <f t="shared" si="4"/>
        <v>111238.08</v>
      </c>
      <c r="O272" t="s">
        <v>895</v>
      </c>
    </row>
    <row r="273" spans="1:15" x14ac:dyDescent="0.35">
      <c r="A273">
        <v>5393</v>
      </c>
      <c r="B273" t="s">
        <v>88</v>
      </c>
      <c r="C273" t="str">
        <f>IFERROR(VLOOKUP(B273,Branches!A:B, 2, FALSE), B273&amp;"(NOT FOUND)")</f>
        <v>Lekki Branch</v>
      </c>
      <c r="D273" s="1">
        <v>45463</v>
      </c>
      <c r="E273" t="s">
        <v>15</v>
      </c>
      <c r="F273" t="str">
        <f>IFERROR(VLOOKUP(E273, Staff!A:B, 2, FALSE), E273&amp;" (NOT FOUND)")</f>
        <v>Ibrahim Sani</v>
      </c>
      <c r="G273" t="s">
        <v>64</v>
      </c>
      <c r="H273" t="s">
        <v>77</v>
      </c>
      <c r="I273">
        <v>1</v>
      </c>
      <c r="J273">
        <v>29229.14</v>
      </c>
      <c r="K273">
        <v>10</v>
      </c>
      <c r="L273" t="s">
        <v>60</v>
      </c>
      <c r="M273" t="s">
        <v>38</v>
      </c>
      <c r="N273">
        <f t="shared" si="4"/>
        <v>26306.225999999999</v>
      </c>
      <c r="O273" t="s">
        <v>896</v>
      </c>
    </row>
    <row r="274" spans="1:15" x14ac:dyDescent="0.35">
      <c r="A274">
        <v>5104</v>
      </c>
      <c r="B274" t="s">
        <v>129</v>
      </c>
      <c r="C274" t="str">
        <f>IFERROR(VLOOKUP(B274,Branches!A:B, 2, FALSE), B274&amp;"(NOT FOUND)")</f>
        <v>Sabon Gari Branch</v>
      </c>
      <c r="D274" s="1">
        <v>45424</v>
      </c>
      <c r="E274" t="s">
        <v>51</v>
      </c>
      <c r="F274" t="str">
        <f>IFERROR(VLOOKUP(E274, Staff!A:B, 2, FALSE), E274&amp;" (NOT FOUND)")</f>
        <v>Halima Yusuf</v>
      </c>
      <c r="G274" t="s">
        <v>16</v>
      </c>
      <c r="H274" t="s">
        <v>17</v>
      </c>
      <c r="J274">
        <v>1097.48</v>
      </c>
      <c r="K274" t="s">
        <v>894</v>
      </c>
      <c r="L274" t="s">
        <v>47</v>
      </c>
      <c r="M274" t="s">
        <v>84</v>
      </c>
      <c r="N274" t="str">
        <f t="shared" si="4"/>
        <v/>
      </c>
      <c r="O274" t="s">
        <v>895</v>
      </c>
    </row>
    <row r="275" spans="1:15" x14ac:dyDescent="0.35">
      <c r="A275">
        <v>5264</v>
      </c>
      <c r="B275" t="s">
        <v>32</v>
      </c>
      <c r="C275" t="str">
        <f>IFERROR(VLOOKUP(B275,Branches!A:B, 2, FALSE), B275&amp;"(NOT FOUND)")</f>
        <v>Wuse Branch</v>
      </c>
      <c r="D275" s="1">
        <v>45492</v>
      </c>
      <c r="E275" t="s">
        <v>76</v>
      </c>
      <c r="F275" t="str">
        <f>IFERROR(VLOOKUP(E275, Staff!A:B, 2, FALSE), E275&amp;" (NOT FOUND)")</f>
        <v>Chika Nwankwo</v>
      </c>
      <c r="G275" t="s">
        <v>16</v>
      </c>
      <c r="H275" t="s">
        <v>109</v>
      </c>
      <c r="I275">
        <v>5</v>
      </c>
      <c r="J275">
        <v>43411.91</v>
      </c>
      <c r="K275" t="s">
        <v>894</v>
      </c>
      <c r="L275" t="s">
        <v>20</v>
      </c>
      <c r="M275" t="s">
        <v>84</v>
      </c>
      <c r="N275">
        <f t="shared" si="4"/>
        <v>217059.55000000002</v>
      </c>
      <c r="O275" t="s">
        <v>896</v>
      </c>
    </row>
    <row r="276" spans="1:15" x14ac:dyDescent="0.35">
      <c r="A276">
        <v>5369</v>
      </c>
      <c r="B276" t="s">
        <v>102</v>
      </c>
      <c r="C276" t="str">
        <f>IFERROR(VLOOKUP(B276,Branches!A:B, 2, FALSE), B276&amp;"(NOT FOUND)")</f>
        <v>GRA Branch</v>
      </c>
      <c r="D276" s="1">
        <v>45343</v>
      </c>
      <c r="E276" t="s">
        <v>51</v>
      </c>
      <c r="F276" t="str">
        <f>IFERROR(VLOOKUP(E276, Staff!A:B, 2, FALSE), E276&amp;" (NOT FOUND)")</f>
        <v>Halima Yusuf</v>
      </c>
      <c r="G276" t="s">
        <v>64</v>
      </c>
      <c r="H276" t="s">
        <v>141</v>
      </c>
      <c r="I276">
        <v>1</v>
      </c>
      <c r="J276">
        <v>44150.41</v>
      </c>
      <c r="K276">
        <v>5</v>
      </c>
      <c r="L276" t="s">
        <v>47</v>
      </c>
      <c r="M276" t="s">
        <v>84</v>
      </c>
      <c r="N276">
        <f t="shared" si="4"/>
        <v>41942.889500000005</v>
      </c>
      <c r="O276" t="s">
        <v>894</v>
      </c>
    </row>
    <row r="277" spans="1:15" x14ac:dyDescent="0.35">
      <c r="A277">
        <v>5174</v>
      </c>
      <c r="B277" t="s">
        <v>88</v>
      </c>
      <c r="C277" t="str">
        <f>IFERROR(VLOOKUP(B277,Branches!A:B, 2, FALSE), B277&amp;"(NOT FOUND)")</f>
        <v>Lekki Branch</v>
      </c>
      <c r="D277" s="1">
        <v>45390</v>
      </c>
      <c r="E277" t="s">
        <v>15</v>
      </c>
      <c r="F277" t="str">
        <f>IFERROR(VLOOKUP(E277, Staff!A:B, 2, FALSE), E277&amp;" (NOT FOUND)")</f>
        <v>Ibrahim Sani</v>
      </c>
      <c r="G277" t="s">
        <v>26</v>
      </c>
      <c r="H277" t="s">
        <v>167</v>
      </c>
      <c r="I277">
        <v>3</v>
      </c>
      <c r="J277">
        <v>4934.22</v>
      </c>
      <c r="K277">
        <v>10</v>
      </c>
      <c r="L277" t="s">
        <v>47</v>
      </c>
      <c r="M277" t="s">
        <v>38</v>
      </c>
      <c r="N277">
        <f t="shared" si="4"/>
        <v>13322.394</v>
      </c>
      <c r="O277" t="s">
        <v>895</v>
      </c>
    </row>
    <row r="278" spans="1:15" x14ac:dyDescent="0.35">
      <c r="A278">
        <v>5322</v>
      </c>
      <c r="B278" t="s">
        <v>129</v>
      </c>
      <c r="C278" t="str">
        <f>IFERROR(VLOOKUP(B278,Branches!A:B, 2, FALSE), B278&amp;"(NOT FOUND)")</f>
        <v>Sabon Gari Branch</v>
      </c>
      <c r="D278" s="1">
        <v>45434</v>
      </c>
      <c r="E278" t="s">
        <v>34</v>
      </c>
      <c r="F278" t="str">
        <f>IFERROR(VLOOKUP(E278, Staff!A:B, 2, FALSE), E278&amp;" (NOT FOUND)")</f>
        <v>Funke Ajayi</v>
      </c>
      <c r="G278" t="s">
        <v>16</v>
      </c>
      <c r="H278" t="s">
        <v>17</v>
      </c>
      <c r="I278">
        <v>1</v>
      </c>
      <c r="J278">
        <v>2088.02</v>
      </c>
      <c r="K278">
        <v>5</v>
      </c>
      <c r="L278" t="s">
        <v>20</v>
      </c>
      <c r="M278" t="s">
        <v>84</v>
      </c>
      <c r="N278">
        <f t="shared" si="4"/>
        <v>1983.6189999999999</v>
      </c>
      <c r="O278" t="s">
        <v>895</v>
      </c>
    </row>
    <row r="279" spans="1:15" x14ac:dyDescent="0.35">
      <c r="A279">
        <v>5422</v>
      </c>
      <c r="B279" t="s">
        <v>74</v>
      </c>
      <c r="C279" t="str">
        <f>IFERROR(VLOOKUP(B279,Branches!A:B, 2, FALSE), B279&amp;"(NOT FOUND)")</f>
        <v>Bodija Branch</v>
      </c>
      <c r="D279" s="1">
        <v>45313</v>
      </c>
      <c r="E279" t="s">
        <v>108</v>
      </c>
      <c r="F279" t="str">
        <f>IFERROR(VLOOKUP(E279, Staff!A:B, 2, FALSE), E279&amp;" (NOT FOUND)")</f>
        <v>Ronke Bakare</v>
      </c>
      <c r="G279" t="s">
        <v>64</v>
      </c>
      <c r="H279" t="s">
        <v>133</v>
      </c>
      <c r="J279" t="s">
        <v>894</v>
      </c>
      <c r="K279">
        <v>5</v>
      </c>
      <c r="L279" t="s">
        <v>20</v>
      </c>
      <c r="M279" t="s">
        <v>84</v>
      </c>
      <c r="N279" t="str">
        <f t="shared" si="4"/>
        <v/>
      </c>
      <c r="O279" t="s">
        <v>895</v>
      </c>
    </row>
    <row r="280" spans="1:15" x14ac:dyDescent="0.35">
      <c r="A280">
        <v>5323</v>
      </c>
      <c r="B280" t="s">
        <v>74</v>
      </c>
      <c r="C280" t="str">
        <f>IFERROR(VLOOKUP(B280,Branches!A:B, 2, FALSE), B280&amp;"(NOT FOUND)")</f>
        <v>Bodija Branch</v>
      </c>
      <c r="D280" s="1">
        <v>45366</v>
      </c>
      <c r="E280" t="s">
        <v>57</v>
      </c>
      <c r="F280" t="str">
        <f>IFERROR(VLOOKUP(E280, Staff!A:B, 2, FALSE), E280&amp;" (NOT FOUND)")</f>
        <v>Kelechi Umeh</v>
      </c>
      <c r="G280" t="s">
        <v>64</v>
      </c>
      <c r="H280" t="s">
        <v>77</v>
      </c>
      <c r="I280">
        <v>3</v>
      </c>
      <c r="J280" t="s">
        <v>894</v>
      </c>
      <c r="K280">
        <v>10</v>
      </c>
      <c r="L280" t="s">
        <v>20</v>
      </c>
      <c r="M280" t="s">
        <v>84</v>
      </c>
      <c r="N280" t="str">
        <f t="shared" si="4"/>
        <v/>
      </c>
      <c r="O280" t="s">
        <v>894</v>
      </c>
    </row>
    <row r="281" spans="1:15" x14ac:dyDescent="0.35">
      <c r="A281">
        <v>5304</v>
      </c>
      <c r="B281" t="s">
        <v>88</v>
      </c>
      <c r="C281" t="str">
        <f>IFERROR(VLOOKUP(B281,Branches!A:B, 2, FALSE), B281&amp;"(NOT FOUND)")</f>
        <v>Lekki Branch</v>
      </c>
      <c r="D281" s="1">
        <v>45376</v>
      </c>
      <c r="E281" t="s">
        <v>34</v>
      </c>
      <c r="F281" t="str">
        <f>IFERROR(VLOOKUP(E281, Staff!A:B, 2, FALSE), E281&amp;" (NOT FOUND)")</f>
        <v>Funke Ajayi</v>
      </c>
      <c r="G281" t="s">
        <v>64</v>
      </c>
      <c r="H281" t="s">
        <v>116</v>
      </c>
      <c r="I281">
        <v>2</v>
      </c>
      <c r="J281">
        <v>22361.64</v>
      </c>
      <c r="K281" t="s">
        <v>894</v>
      </c>
      <c r="L281" t="s">
        <v>20</v>
      </c>
      <c r="M281" t="s">
        <v>84</v>
      </c>
      <c r="N281">
        <f t="shared" si="4"/>
        <v>44723.28</v>
      </c>
      <c r="O281" t="s">
        <v>895</v>
      </c>
    </row>
    <row r="282" spans="1:15" x14ac:dyDescent="0.35">
      <c r="A282">
        <v>5133</v>
      </c>
      <c r="B282" t="s">
        <v>88</v>
      </c>
      <c r="C282" t="str">
        <f>IFERROR(VLOOKUP(B282,Branches!A:B, 2, FALSE), B282&amp;"(NOT FOUND)")</f>
        <v>Lekki Branch</v>
      </c>
      <c r="D282" s="1">
        <v>45349</v>
      </c>
      <c r="E282" t="s">
        <v>34</v>
      </c>
      <c r="F282" t="str">
        <f>IFERROR(VLOOKUP(E282, Staff!A:B, 2, FALSE), E282&amp;" (NOT FOUND)")</f>
        <v>Funke Ajayi</v>
      </c>
      <c r="G282" t="s">
        <v>64</v>
      </c>
      <c r="H282" t="s">
        <v>116</v>
      </c>
      <c r="I282">
        <v>1</v>
      </c>
      <c r="J282">
        <v>28145.97</v>
      </c>
      <c r="K282">
        <v>15</v>
      </c>
      <c r="L282" t="s">
        <v>47</v>
      </c>
      <c r="M282" t="s">
        <v>38</v>
      </c>
      <c r="N282">
        <f t="shared" si="4"/>
        <v>23924.074500000002</v>
      </c>
      <c r="O282" t="s">
        <v>895</v>
      </c>
    </row>
    <row r="283" spans="1:15" x14ac:dyDescent="0.35">
      <c r="A283">
        <v>5255</v>
      </c>
      <c r="B283" t="s">
        <v>32</v>
      </c>
      <c r="C283" t="str">
        <f>IFERROR(VLOOKUP(B283,Branches!A:B, 2, FALSE), B283&amp;"(NOT FOUND)")</f>
        <v>Wuse Branch</v>
      </c>
      <c r="D283" s="1">
        <v>45503</v>
      </c>
      <c r="E283" t="s">
        <v>86</v>
      </c>
      <c r="F283" t="str">
        <f>IFERROR(VLOOKUP(E283, Staff!A:B, 2, FALSE), E283&amp;" (NOT FOUND)")</f>
        <v>Ekene Obi</v>
      </c>
      <c r="G283" t="s">
        <v>16</v>
      </c>
      <c r="H283" t="s">
        <v>170</v>
      </c>
      <c r="I283">
        <v>4</v>
      </c>
      <c r="J283">
        <v>11200.06</v>
      </c>
      <c r="K283" t="s">
        <v>894</v>
      </c>
      <c r="L283" t="s">
        <v>20</v>
      </c>
      <c r="M283" t="s">
        <v>84</v>
      </c>
      <c r="N283">
        <f t="shared" si="4"/>
        <v>44800.24</v>
      </c>
      <c r="O283" t="s">
        <v>895</v>
      </c>
    </row>
    <row r="284" spans="1:15" x14ac:dyDescent="0.35">
      <c r="A284">
        <v>5032</v>
      </c>
      <c r="B284" t="s">
        <v>88</v>
      </c>
      <c r="C284" t="str">
        <f>IFERROR(VLOOKUP(B284,Branches!A:B, 2, FALSE), B284&amp;"(NOT FOUND)")</f>
        <v>Lekki Branch</v>
      </c>
      <c r="D284" s="1">
        <v>45417</v>
      </c>
      <c r="E284" t="s">
        <v>86</v>
      </c>
      <c r="F284" t="str">
        <f>IFERROR(VLOOKUP(E284, Staff!A:B, 2, FALSE), E284&amp;" (NOT FOUND)")</f>
        <v>Ekene Obi</v>
      </c>
      <c r="G284" t="s">
        <v>16</v>
      </c>
      <c r="H284" t="s">
        <v>170</v>
      </c>
      <c r="J284" t="s">
        <v>894</v>
      </c>
      <c r="K284" t="s">
        <v>894</v>
      </c>
      <c r="L284" t="s">
        <v>20</v>
      </c>
      <c r="M284" t="s">
        <v>84</v>
      </c>
      <c r="N284" t="str">
        <f t="shared" si="4"/>
        <v/>
      </c>
      <c r="O284" t="s">
        <v>896</v>
      </c>
    </row>
    <row r="285" spans="1:15" x14ac:dyDescent="0.35">
      <c r="A285">
        <v>5274</v>
      </c>
      <c r="B285" t="s">
        <v>102</v>
      </c>
      <c r="C285" t="str">
        <f>IFERROR(VLOOKUP(B285,Branches!A:B, 2, FALSE), B285&amp;"(NOT FOUND)")</f>
        <v>GRA Branch</v>
      </c>
      <c r="D285" s="1">
        <v>45363</v>
      </c>
      <c r="E285" t="s">
        <v>15</v>
      </c>
      <c r="F285" t="str">
        <f>IFERROR(VLOOKUP(E285, Staff!A:B, 2, FALSE), E285&amp;" (NOT FOUND)")</f>
        <v>Ibrahim Sani</v>
      </c>
      <c r="G285" t="s">
        <v>35</v>
      </c>
      <c r="H285" t="s">
        <v>58</v>
      </c>
      <c r="J285" t="s">
        <v>894</v>
      </c>
      <c r="K285">
        <v>5</v>
      </c>
      <c r="L285" t="s">
        <v>20</v>
      </c>
      <c r="M285" t="s">
        <v>38</v>
      </c>
      <c r="N285" t="str">
        <f t="shared" si="4"/>
        <v/>
      </c>
      <c r="O285" t="s">
        <v>895</v>
      </c>
    </row>
    <row r="286" spans="1:15" x14ac:dyDescent="0.35">
      <c r="A286">
        <v>5075</v>
      </c>
      <c r="B286" t="s">
        <v>88</v>
      </c>
      <c r="C286" t="str">
        <f>IFERROR(VLOOKUP(B286,Branches!A:B, 2, FALSE), B286&amp;"(NOT FOUND)")</f>
        <v>Lekki Branch</v>
      </c>
      <c r="D286" s="1">
        <v>45551</v>
      </c>
      <c r="E286" t="s">
        <v>57</v>
      </c>
      <c r="F286" t="str">
        <f>IFERROR(VLOOKUP(E286, Staff!A:B, 2, FALSE), E286&amp;" (NOT FOUND)")</f>
        <v>Kelechi Umeh</v>
      </c>
      <c r="G286" t="s">
        <v>35</v>
      </c>
      <c r="H286" t="s">
        <v>58</v>
      </c>
      <c r="I286">
        <v>1</v>
      </c>
      <c r="J286">
        <v>1049.58</v>
      </c>
      <c r="K286">
        <v>5</v>
      </c>
      <c r="L286" t="s">
        <v>60</v>
      </c>
      <c r="M286" t="s">
        <v>38</v>
      </c>
      <c r="N286">
        <f t="shared" si="4"/>
        <v>997.10099999999989</v>
      </c>
      <c r="O286" t="s">
        <v>896</v>
      </c>
    </row>
    <row r="287" spans="1:15" x14ac:dyDescent="0.35">
      <c r="A287">
        <v>5451</v>
      </c>
      <c r="B287" t="s">
        <v>74</v>
      </c>
      <c r="C287" t="str">
        <f>IFERROR(VLOOKUP(B287,Branches!A:B, 2, FALSE), B287&amp;"(NOT FOUND)")</f>
        <v>Bodija Branch</v>
      </c>
      <c r="D287" s="1">
        <v>45413</v>
      </c>
      <c r="E287" t="s">
        <v>86</v>
      </c>
      <c r="F287" t="str">
        <f>IFERROR(VLOOKUP(E287, Staff!A:B, 2, FALSE), E287&amp;" (NOT FOUND)")</f>
        <v>Ekene Obi</v>
      </c>
      <c r="G287" t="s">
        <v>16</v>
      </c>
      <c r="H287" t="s">
        <v>109</v>
      </c>
      <c r="I287">
        <v>4</v>
      </c>
      <c r="J287">
        <v>29016.15</v>
      </c>
      <c r="K287">
        <v>5</v>
      </c>
      <c r="L287" t="s">
        <v>20</v>
      </c>
      <c r="M287" t="s">
        <v>38</v>
      </c>
      <c r="N287">
        <f t="shared" si="4"/>
        <v>110261.37000000001</v>
      </c>
      <c r="O287" t="s">
        <v>896</v>
      </c>
    </row>
    <row r="288" spans="1:15" x14ac:dyDescent="0.35">
      <c r="A288">
        <v>5416</v>
      </c>
      <c r="B288" t="s">
        <v>88</v>
      </c>
      <c r="C288" t="str">
        <f>IFERROR(VLOOKUP(B288,Branches!A:B, 2, FALSE), B288&amp;"(NOT FOUND)")</f>
        <v>Lekki Branch</v>
      </c>
      <c r="D288" s="1">
        <v>45459</v>
      </c>
      <c r="E288" t="s">
        <v>57</v>
      </c>
      <c r="F288" t="str">
        <f>IFERROR(VLOOKUP(E288, Staff!A:B, 2, FALSE), E288&amp;" (NOT FOUND)")</f>
        <v>Kelechi Umeh</v>
      </c>
      <c r="G288" t="s">
        <v>64</v>
      </c>
      <c r="H288" t="s">
        <v>77</v>
      </c>
      <c r="J288" t="s">
        <v>894</v>
      </c>
      <c r="K288">
        <v>10</v>
      </c>
      <c r="L288" t="s">
        <v>60</v>
      </c>
      <c r="M288" t="s">
        <v>84</v>
      </c>
      <c r="N288" t="str">
        <f t="shared" si="4"/>
        <v/>
      </c>
      <c r="O288" t="s">
        <v>896</v>
      </c>
    </row>
    <row r="289" spans="1:15" x14ac:dyDescent="0.35">
      <c r="A289">
        <v>5476</v>
      </c>
      <c r="B289" t="s">
        <v>32</v>
      </c>
      <c r="C289" t="str">
        <f>IFERROR(VLOOKUP(B289,Branches!A:B, 2, FALSE), B289&amp;"(NOT FOUND)")</f>
        <v>Wuse Branch</v>
      </c>
      <c r="D289" s="1">
        <v>45356</v>
      </c>
      <c r="E289" t="s">
        <v>108</v>
      </c>
      <c r="F289" t="str">
        <f>IFERROR(VLOOKUP(E289, Staff!A:B, 2, FALSE), E289&amp;" (NOT FOUND)")</f>
        <v>Ronke Bakare</v>
      </c>
      <c r="G289" t="s">
        <v>16</v>
      </c>
      <c r="H289" t="s">
        <v>42</v>
      </c>
      <c r="I289">
        <v>2</v>
      </c>
      <c r="J289">
        <v>21939.439999999999</v>
      </c>
      <c r="K289" t="s">
        <v>894</v>
      </c>
      <c r="L289" t="s">
        <v>20</v>
      </c>
      <c r="M289" t="s">
        <v>84</v>
      </c>
      <c r="N289">
        <f t="shared" si="4"/>
        <v>43878.879999999997</v>
      </c>
      <c r="O289" t="s">
        <v>896</v>
      </c>
    </row>
    <row r="290" spans="1:15" x14ac:dyDescent="0.35">
      <c r="A290">
        <v>5036</v>
      </c>
      <c r="B290" t="s">
        <v>129</v>
      </c>
      <c r="C290" t="str">
        <f>IFERROR(VLOOKUP(B290,Branches!A:B, 2, FALSE), B290&amp;"(NOT FOUND)")</f>
        <v>Sabon Gari Branch</v>
      </c>
      <c r="D290" s="1">
        <v>45478</v>
      </c>
      <c r="E290" t="s">
        <v>86</v>
      </c>
      <c r="F290" t="str">
        <f>IFERROR(VLOOKUP(E290, Staff!A:B, 2, FALSE), E290&amp;" (NOT FOUND)")</f>
        <v>Ekene Obi</v>
      </c>
      <c r="G290" t="s">
        <v>16</v>
      </c>
      <c r="H290" t="s">
        <v>82</v>
      </c>
      <c r="J290">
        <v>23820.92</v>
      </c>
      <c r="K290" t="s">
        <v>894</v>
      </c>
      <c r="L290" t="s">
        <v>20</v>
      </c>
      <c r="M290" t="s">
        <v>38</v>
      </c>
      <c r="N290" t="str">
        <f t="shared" si="4"/>
        <v/>
      </c>
      <c r="O290" t="s">
        <v>896</v>
      </c>
    </row>
    <row r="291" spans="1:15" x14ac:dyDescent="0.35">
      <c r="A291">
        <v>5231</v>
      </c>
      <c r="B291" t="s">
        <v>102</v>
      </c>
      <c r="C291" t="str">
        <f>IFERROR(VLOOKUP(B291,Branches!A:B, 2, FALSE), B291&amp;"(NOT FOUND)")</f>
        <v>GRA Branch</v>
      </c>
      <c r="D291" s="1">
        <v>45462</v>
      </c>
      <c r="E291" t="s">
        <v>108</v>
      </c>
      <c r="F291" t="str">
        <f>IFERROR(VLOOKUP(E291, Staff!A:B, 2, FALSE), E291&amp;" (NOT FOUND)")</f>
        <v>Ronke Bakare</v>
      </c>
      <c r="G291" t="s">
        <v>26</v>
      </c>
      <c r="H291" t="s">
        <v>112</v>
      </c>
      <c r="I291">
        <v>1</v>
      </c>
      <c r="J291" t="s">
        <v>894</v>
      </c>
      <c r="K291" t="s">
        <v>894</v>
      </c>
      <c r="L291" t="s">
        <v>20</v>
      </c>
      <c r="M291" t="s">
        <v>84</v>
      </c>
      <c r="N291" t="str">
        <f t="shared" si="4"/>
        <v/>
      </c>
      <c r="O291" t="s">
        <v>895</v>
      </c>
    </row>
    <row r="292" spans="1:15" x14ac:dyDescent="0.35">
      <c r="A292">
        <v>5493</v>
      </c>
      <c r="B292" t="s">
        <v>102</v>
      </c>
      <c r="C292" t="str">
        <f>IFERROR(VLOOKUP(B292,Branches!A:B, 2, FALSE), B292&amp;"(NOT FOUND)")</f>
        <v>GRA Branch</v>
      </c>
      <c r="D292" s="1">
        <v>45316</v>
      </c>
      <c r="E292" t="s">
        <v>348</v>
      </c>
      <c r="F292" t="str">
        <f>IFERROR(VLOOKUP(E292, Staff!A:B, 2, FALSE), E292&amp;" (NOT FOUND)")</f>
        <v>SXXX (NOT FOUND)</v>
      </c>
      <c r="G292" t="s">
        <v>26</v>
      </c>
      <c r="H292" t="s">
        <v>167</v>
      </c>
      <c r="I292">
        <v>1</v>
      </c>
      <c r="J292">
        <v>19347.900000000001</v>
      </c>
      <c r="K292" t="s">
        <v>894</v>
      </c>
      <c r="L292" t="s">
        <v>20</v>
      </c>
      <c r="M292" t="s">
        <v>38</v>
      </c>
      <c r="N292">
        <f t="shared" si="4"/>
        <v>19347.900000000001</v>
      </c>
      <c r="O292" t="s">
        <v>896</v>
      </c>
    </row>
    <row r="293" spans="1:15" x14ac:dyDescent="0.35">
      <c r="A293">
        <v>5434</v>
      </c>
      <c r="B293" t="s">
        <v>74</v>
      </c>
      <c r="C293" t="str">
        <f>IFERROR(VLOOKUP(B293,Branches!A:B, 2, FALSE), B293&amp;"(NOT FOUND)")</f>
        <v>Bodija Branch</v>
      </c>
      <c r="D293" s="1">
        <v>45415</v>
      </c>
      <c r="E293" t="s">
        <v>86</v>
      </c>
      <c r="F293" t="str">
        <f>IFERROR(VLOOKUP(E293, Staff!A:B, 2, FALSE), E293&amp;" (NOT FOUND)")</f>
        <v>Ekene Obi</v>
      </c>
      <c r="G293" t="s">
        <v>16</v>
      </c>
      <c r="H293" t="s">
        <v>109</v>
      </c>
      <c r="J293">
        <v>13223.34</v>
      </c>
      <c r="K293">
        <v>10</v>
      </c>
      <c r="L293" t="s">
        <v>47</v>
      </c>
      <c r="M293" t="s">
        <v>84</v>
      </c>
      <c r="N293" t="str">
        <f t="shared" si="4"/>
        <v/>
      </c>
      <c r="O293" t="s">
        <v>895</v>
      </c>
    </row>
    <row r="294" spans="1:15" x14ac:dyDescent="0.35">
      <c r="A294">
        <v>5223</v>
      </c>
      <c r="B294" t="s">
        <v>74</v>
      </c>
      <c r="C294" t="str">
        <f>IFERROR(VLOOKUP(B294,Branches!A:B, 2, FALSE), B294&amp;"(NOT FOUND)")</f>
        <v>Bodija Branch</v>
      </c>
      <c r="D294" s="1">
        <v>45379</v>
      </c>
      <c r="E294" t="s">
        <v>25</v>
      </c>
      <c r="F294" t="str">
        <f>IFERROR(VLOOKUP(E294, Staff!A:B, 2, FALSE), E294&amp;" (NOT FOUND)")</f>
        <v>Tobi Adewale</v>
      </c>
      <c r="G294" t="s">
        <v>16</v>
      </c>
      <c r="H294" t="s">
        <v>170</v>
      </c>
      <c r="I294">
        <v>4</v>
      </c>
      <c r="J294">
        <v>35729.82</v>
      </c>
      <c r="K294" t="s">
        <v>894</v>
      </c>
      <c r="L294" t="s">
        <v>47</v>
      </c>
      <c r="M294" t="s">
        <v>38</v>
      </c>
      <c r="N294">
        <f t="shared" si="4"/>
        <v>142919.28</v>
      </c>
      <c r="O294" t="s">
        <v>894</v>
      </c>
    </row>
    <row r="295" spans="1:15" x14ac:dyDescent="0.35">
      <c r="A295">
        <v>5313</v>
      </c>
      <c r="B295" t="s">
        <v>102</v>
      </c>
      <c r="C295" t="str">
        <f>IFERROR(VLOOKUP(B295,Branches!A:B, 2, FALSE), B295&amp;"(NOT FOUND)")</f>
        <v>GRA Branch</v>
      </c>
      <c r="D295" s="1">
        <v>45326</v>
      </c>
      <c r="E295" t="s">
        <v>15</v>
      </c>
      <c r="F295" t="str">
        <f>IFERROR(VLOOKUP(E295, Staff!A:B, 2, FALSE), E295&amp;" (NOT FOUND)")</f>
        <v>Ibrahim Sani</v>
      </c>
      <c r="G295" t="s">
        <v>64</v>
      </c>
      <c r="H295" t="s">
        <v>77</v>
      </c>
      <c r="I295">
        <v>3</v>
      </c>
      <c r="J295">
        <v>17726.810000000001</v>
      </c>
      <c r="K295">
        <v>10</v>
      </c>
      <c r="L295" t="s">
        <v>47</v>
      </c>
      <c r="M295" t="s">
        <v>84</v>
      </c>
      <c r="N295">
        <f t="shared" si="4"/>
        <v>47862.387000000002</v>
      </c>
      <c r="O295" t="s">
        <v>895</v>
      </c>
    </row>
    <row r="296" spans="1:15" x14ac:dyDescent="0.35">
      <c r="A296">
        <v>5307</v>
      </c>
      <c r="B296" t="s">
        <v>32</v>
      </c>
      <c r="C296" t="str">
        <f>IFERROR(VLOOKUP(B296,Branches!A:B, 2, FALSE), B296&amp;"(NOT FOUND)")</f>
        <v>Wuse Branch</v>
      </c>
      <c r="D296" s="1">
        <v>45542</v>
      </c>
      <c r="E296" t="s">
        <v>86</v>
      </c>
      <c r="F296" t="str">
        <f>IFERROR(VLOOKUP(E296, Staff!A:B, 2, FALSE), E296&amp;" (NOT FOUND)")</f>
        <v>Ekene Obi</v>
      </c>
      <c r="G296" t="s">
        <v>35</v>
      </c>
      <c r="H296" t="s">
        <v>58</v>
      </c>
      <c r="J296">
        <v>32575.23</v>
      </c>
      <c r="K296">
        <v>0</v>
      </c>
      <c r="L296" t="s">
        <v>60</v>
      </c>
      <c r="M296" t="s">
        <v>84</v>
      </c>
      <c r="N296" t="str">
        <f t="shared" si="4"/>
        <v/>
      </c>
      <c r="O296" t="s">
        <v>896</v>
      </c>
    </row>
    <row r="297" spans="1:15" x14ac:dyDescent="0.35">
      <c r="A297">
        <v>5293</v>
      </c>
      <c r="B297" t="s">
        <v>102</v>
      </c>
      <c r="C297" t="str">
        <f>IFERROR(VLOOKUP(B297,Branches!A:B, 2, FALSE), B297&amp;"(NOT FOUND)")</f>
        <v>GRA Branch</v>
      </c>
      <c r="D297" s="1">
        <v>45466</v>
      </c>
      <c r="E297" t="s">
        <v>108</v>
      </c>
      <c r="F297" t="str">
        <f>IFERROR(VLOOKUP(E297, Staff!A:B, 2, FALSE), E297&amp;" (NOT FOUND)")</f>
        <v>Ronke Bakare</v>
      </c>
      <c r="G297" t="s">
        <v>16</v>
      </c>
      <c r="H297" t="s">
        <v>42</v>
      </c>
      <c r="I297">
        <v>5</v>
      </c>
      <c r="J297">
        <v>6238.37</v>
      </c>
      <c r="K297">
        <v>0</v>
      </c>
      <c r="L297" t="s">
        <v>20</v>
      </c>
      <c r="M297" t="s">
        <v>84</v>
      </c>
      <c r="N297">
        <f t="shared" si="4"/>
        <v>31191.85</v>
      </c>
      <c r="O297" t="s">
        <v>894</v>
      </c>
    </row>
    <row r="298" spans="1:15" x14ac:dyDescent="0.35">
      <c r="A298">
        <v>5040</v>
      </c>
      <c r="B298" t="s">
        <v>129</v>
      </c>
      <c r="C298" t="str">
        <f>IFERROR(VLOOKUP(B298,Branches!A:B, 2, FALSE), B298&amp;"(NOT FOUND)")</f>
        <v>Sabon Gari Branch</v>
      </c>
      <c r="D298" s="1">
        <v>45425</v>
      </c>
      <c r="E298" t="s">
        <v>51</v>
      </c>
      <c r="F298" t="str">
        <f>IFERROR(VLOOKUP(E298, Staff!A:B, 2, FALSE), E298&amp;" (NOT FOUND)")</f>
        <v>Halima Yusuf</v>
      </c>
      <c r="G298" t="s">
        <v>64</v>
      </c>
      <c r="H298" t="s">
        <v>77</v>
      </c>
      <c r="I298">
        <v>5</v>
      </c>
      <c r="J298">
        <v>6165.35</v>
      </c>
      <c r="K298">
        <v>0</v>
      </c>
      <c r="L298" t="s">
        <v>47</v>
      </c>
      <c r="M298" t="s">
        <v>38</v>
      </c>
      <c r="N298">
        <f t="shared" si="4"/>
        <v>30826.75</v>
      </c>
      <c r="O298" t="s">
        <v>895</v>
      </c>
    </row>
    <row r="299" spans="1:15" x14ac:dyDescent="0.35">
      <c r="A299">
        <v>5285</v>
      </c>
      <c r="B299" t="s">
        <v>74</v>
      </c>
      <c r="C299" t="str">
        <f>IFERROR(VLOOKUP(B299,Branches!A:B, 2, FALSE), B299&amp;"(NOT FOUND)")</f>
        <v>Bodija Branch</v>
      </c>
      <c r="D299" s="1">
        <v>45413</v>
      </c>
      <c r="E299" t="s">
        <v>34</v>
      </c>
      <c r="F299" t="str">
        <f>IFERROR(VLOOKUP(E299, Staff!A:B, 2, FALSE), E299&amp;" (NOT FOUND)")</f>
        <v>Funke Ajayi</v>
      </c>
      <c r="G299" t="s">
        <v>16</v>
      </c>
      <c r="H299" t="s">
        <v>170</v>
      </c>
      <c r="I299">
        <v>2</v>
      </c>
      <c r="J299">
        <v>4317.2299999999996</v>
      </c>
      <c r="K299">
        <v>5</v>
      </c>
      <c r="L299" t="s">
        <v>20</v>
      </c>
      <c r="M299" t="s">
        <v>38</v>
      </c>
      <c r="N299">
        <f t="shared" si="4"/>
        <v>8202.7369999999992</v>
      </c>
      <c r="O299" t="s">
        <v>895</v>
      </c>
    </row>
    <row r="300" spans="1:15" x14ac:dyDescent="0.35">
      <c r="A300">
        <v>5186</v>
      </c>
      <c r="B300" t="s">
        <v>102</v>
      </c>
      <c r="C300" t="str">
        <f>IFERROR(VLOOKUP(B300,Branches!A:B, 2, FALSE), B300&amp;"(NOT FOUND)")</f>
        <v>GRA Branch</v>
      </c>
      <c r="D300" s="1">
        <v>45370</v>
      </c>
      <c r="E300" t="s">
        <v>15</v>
      </c>
      <c r="F300" t="str">
        <f>IFERROR(VLOOKUP(E300, Staff!A:B, 2, FALSE), E300&amp;" (NOT FOUND)")</f>
        <v>Ibrahim Sani</v>
      </c>
      <c r="G300" t="s">
        <v>35</v>
      </c>
      <c r="H300" t="s">
        <v>155</v>
      </c>
      <c r="J300">
        <v>9866.4500000000007</v>
      </c>
      <c r="K300">
        <v>0</v>
      </c>
      <c r="L300" t="s">
        <v>47</v>
      </c>
      <c r="M300" t="s">
        <v>84</v>
      </c>
      <c r="N300" t="str">
        <f t="shared" si="4"/>
        <v/>
      </c>
      <c r="O300" t="s">
        <v>895</v>
      </c>
    </row>
    <row r="301" spans="1:15" x14ac:dyDescent="0.35">
      <c r="A301">
        <v>5315</v>
      </c>
      <c r="B301" t="s">
        <v>32</v>
      </c>
      <c r="C301" t="str">
        <f>IFERROR(VLOOKUP(B301,Branches!A:B, 2, FALSE), B301&amp;"(NOT FOUND)")</f>
        <v>Wuse Branch</v>
      </c>
      <c r="D301" s="1">
        <v>45489</v>
      </c>
      <c r="E301" t="s">
        <v>25</v>
      </c>
      <c r="F301" t="str">
        <f>IFERROR(VLOOKUP(E301, Staff!A:B, 2, FALSE), E301&amp;" (NOT FOUND)")</f>
        <v>Tobi Adewale</v>
      </c>
      <c r="G301" t="s">
        <v>16</v>
      </c>
      <c r="H301" t="s">
        <v>109</v>
      </c>
      <c r="I301">
        <v>1</v>
      </c>
      <c r="J301">
        <v>34893.89</v>
      </c>
      <c r="K301">
        <v>10</v>
      </c>
      <c r="L301" t="s">
        <v>60</v>
      </c>
      <c r="M301" t="s">
        <v>84</v>
      </c>
      <c r="N301">
        <f t="shared" si="4"/>
        <v>31404.501</v>
      </c>
      <c r="O301" t="s">
        <v>895</v>
      </c>
    </row>
    <row r="302" spans="1:15" x14ac:dyDescent="0.35">
      <c r="A302">
        <v>5423</v>
      </c>
      <c r="B302" t="s">
        <v>88</v>
      </c>
      <c r="C302" t="str">
        <f>IFERROR(VLOOKUP(B302,Branches!A:B, 2, FALSE), B302&amp;"(NOT FOUND)")</f>
        <v>Lekki Branch</v>
      </c>
      <c r="D302" s="1">
        <v>45495</v>
      </c>
      <c r="E302" t="s">
        <v>51</v>
      </c>
      <c r="F302" t="str">
        <f>IFERROR(VLOOKUP(E302, Staff!A:B, 2, FALSE), E302&amp;" (NOT FOUND)")</f>
        <v>Halima Yusuf</v>
      </c>
      <c r="G302" t="s">
        <v>16</v>
      </c>
      <c r="H302" t="s">
        <v>82</v>
      </c>
      <c r="I302">
        <v>4</v>
      </c>
      <c r="J302">
        <v>6132.32</v>
      </c>
      <c r="K302">
        <v>15</v>
      </c>
      <c r="L302" t="s">
        <v>20</v>
      </c>
      <c r="M302" t="s">
        <v>84</v>
      </c>
      <c r="N302">
        <f t="shared" si="4"/>
        <v>20849.887999999999</v>
      </c>
      <c r="O302" t="s">
        <v>895</v>
      </c>
    </row>
    <row r="303" spans="1:15" x14ac:dyDescent="0.35">
      <c r="A303">
        <v>5006</v>
      </c>
      <c r="B303" t="s">
        <v>102</v>
      </c>
      <c r="C303" t="str">
        <f>IFERROR(VLOOKUP(B303,Branches!A:B, 2, FALSE), B303&amp;"(NOT FOUND)")</f>
        <v>GRA Branch</v>
      </c>
      <c r="D303" s="1">
        <v>45403</v>
      </c>
      <c r="E303" t="s">
        <v>108</v>
      </c>
      <c r="F303" t="str">
        <f>IFERROR(VLOOKUP(E303, Staff!A:B, 2, FALSE), E303&amp;" (NOT FOUND)")</f>
        <v>Ronke Bakare</v>
      </c>
      <c r="G303" t="s">
        <v>64</v>
      </c>
      <c r="H303" t="s">
        <v>77</v>
      </c>
      <c r="I303">
        <v>3</v>
      </c>
      <c r="J303">
        <v>1504.05</v>
      </c>
      <c r="K303" t="s">
        <v>894</v>
      </c>
      <c r="L303" t="s">
        <v>20</v>
      </c>
      <c r="M303" t="s">
        <v>84</v>
      </c>
      <c r="N303">
        <f t="shared" si="4"/>
        <v>4512.1499999999996</v>
      </c>
      <c r="O303" t="s">
        <v>896</v>
      </c>
    </row>
    <row r="304" spans="1:15" x14ac:dyDescent="0.35">
      <c r="A304">
        <v>5376</v>
      </c>
      <c r="B304" t="s">
        <v>88</v>
      </c>
      <c r="C304" t="str">
        <f>IFERROR(VLOOKUP(B304,Branches!A:B, 2, FALSE), B304&amp;"(NOT FOUND)")</f>
        <v>Lekki Branch</v>
      </c>
      <c r="D304" s="1">
        <v>45434</v>
      </c>
      <c r="E304" t="s">
        <v>108</v>
      </c>
      <c r="F304" t="str">
        <f>IFERROR(VLOOKUP(E304, Staff!A:B, 2, FALSE), E304&amp;" (NOT FOUND)")</f>
        <v>Ronke Bakare</v>
      </c>
      <c r="G304" t="s">
        <v>26</v>
      </c>
      <c r="H304" t="s">
        <v>27</v>
      </c>
      <c r="I304">
        <v>2</v>
      </c>
      <c r="J304" t="s">
        <v>894</v>
      </c>
      <c r="K304" t="s">
        <v>894</v>
      </c>
      <c r="L304" t="s">
        <v>60</v>
      </c>
      <c r="M304" t="s">
        <v>84</v>
      </c>
      <c r="N304" t="str">
        <f t="shared" si="4"/>
        <v/>
      </c>
      <c r="O304" t="s">
        <v>896</v>
      </c>
    </row>
    <row r="305" spans="1:15" x14ac:dyDescent="0.35">
      <c r="A305">
        <v>5115</v>
      </c>
      <c r="B305" t="s">
        <v>74</v>
      </c>
      <c r="C305" t="str">
        <f>IFERROR(VLOOKUP(B305,Branches!A:B, 2, FALSE), B305&amp;"(NOT FOUND)")</f>
        <v>Bodija Branch</v>
      </c>
      <c r="D305" s="1">
        <v>45520</v>
      </c>
      <c r="E305" t="s">
        <v>76</v>
      </c>
      <c r="F305" t="str">
        <f>IFERROR(VLOOKUP(E305, Staff!A:B, 2, FALSE), E305&amp;" (NOT FOUND)")</f>
        <v>Chika Nwankwo</v>
      </c>
      <c r="G305" t="s">
        <v>16</v>
      </c>
      <c r="H305" t="s">
        <v>170</v>
      </c>
      <c r="I305">
        <v>5</v>
      </c>
      <c r="J305">
        <v>22141.040000000001</v>
      </c>
      <c r="K305" t="s">
        <v>894</v>
      </c>
      <c r="L305" t="s">
        <v>47</v>
      </c>
      <c r="M305" t="s">
        <v>84</v>
      </c>
      <c r="N305">
        <f t="shared" si="4"/>
        <v>110705.20000000001</v>
      </c>
      <c r="O305" t="s">
        <v>896</v>
      </c>
    </row>
    <row r="306" spans="1:15" x14ac:dyDescent="0.35">
      <c r="A306">
        <v>5390</v>
      </c>
      <c r="B306" t="s">
        <v>88</v>
      </c>
      <c r="C306" t="str">
        <f>IFERROR(VLOOKUP(B306,Branches!A:B, 2, FALSE), B306&amp;"(NOT FOUND)")</f>
        <v>Lekki Branch</v>
      </c>
      <c r="D306" s="1">
        <v>45528</v>
      </c>
      <c r="E306" t="s">
        <v>25</v>
      </c>
      <c r="F306" t="str">
        <f>IFERROR(VLOOKUP(E306, Staff!A:B, 2, FALSE), E306&amp;" (NOT FOUND)")</f>
        <v>Tobi Adewale</v>
      </c>
      <c r="G306" t="s">
        <v>16</v>
      </c>
      <c r="H306" t="s">
        <v>42</v>
      </c>
      <c r="J306">
        <v>41943.19</v>
      </c>
      <c r="K306">
        <v>15</v>
      </c>
      <c r="L306" t="s">
        <v>20</v>
      </c>
      <c r="M306" t="s">
        <v>84</v>
      </c>
      <c r="N306" t="str">
        <f t="shared" si="4"/>
        <v/>
      </c>
      <c r="O306" t="s">
        <v>895</v>
      </c>
    </row>
    <row r="307" spans="1:15" x14ac:dyDescent="0.35">
      <c r="A307">
        <v>5151</v>
      </c>
      <c r="B307" t="s">
        <v>102</v>
      </c>
      <c r="C307" t="str">
        <f>IFERROR(VLOOKUP(B307,Branches!A:B, 2, FALSE), B307&amp;"(NOT FOUND)")</f>
        <v>GRA Branch</v>
      </c>
      <c r="D307" s="1">
        <v>45499</v>
      </c>
      <c r="E307" t="s">
        <v>51</v>
      </c>
      <c r="F307" t="str">
        <f>IFERROR(VLOOKUP(E307, Staff!A:B, 2, FALSE), E307&amp;" (NOT FOUND)")</f>
        <v>Halima Yusuf</v>
      </c>
      <c r="G307" t="s">
        <v>16</v>
      </c>
      <c r="H307" t="s">
        <v>109</v>
      </c>
      <c r="I307">
        <v>2</v>
      </c>
      <c r="J307">
        <v>25196.42</v>
      </c>
      <c r="K307">
        <v>5</v>
      </c>
      <c r="L307" t="s">
        <v>47</v>
      </c>
      <c r="M307" t="s">
        <v>38</v>
      </c>
      <c r="N307">
        <f t="shared" si="4"/>
        <v>47873.197999999997</v>
      </c>
      <c r="O307" t="s">
        <v>896</v>
      </c>
    </row>
    <row r="308" spans="1:15" x14ac:dyDescent="0.35">
      <c r="A308">
        <v>5352</v>
      </c>
      <c r="B308" t="s">
        <v>129</v>
      </c>
      <c r="C308" t="str">
        <f>IFERROR(VLOOKUP(B308,Branches!A:B, 2, FALSE), B308&amp;"(NOT FOUND)")</f>
        <v>Sabon Gari Branch</v>
      </c>
      <c r="D308" s="1">
        <v>45486</v>
      </c>
      <c r="E308" t="s">
        <v>86</v>
      </c>
      <c r="F308" t="str">
        <f>IFERROR(VLOOKUP(E308, Staff!A:B, 2, FALSE), E308&amp;" (NOT FOUND)")</f>
        <v>Ekene Obi</v>
      </c>
      <c r="G308" t="s">
        <v>26</v>
      </c>
      <c r="H308" t="s">
        <v>167</v>
      </c>
      <c r="I308">
        <v>5</v>
      </c>
      <c r="J308" t="s">
        <v>894</v>
      </c>
      <c r="K308">
        <v>15</v>
      </c>
      <c r="L308" t="s">
        <v>20</v>
      </c>
      <c r="M308" t="s">
        <v>38</v>
      </c>
      <c r="N308" t="str">
        <f t="shared" si="4"/>
        <v/>
      </c>
      <c r="O308" t="s">
        <v>895</v>
      </c>
    </row>
    <row r="309" spans="1:15" x14ac:dyDescent="0.35">
      <c r="A309">
        <v>5314</v>
      </c>
      <c r="B309" t="s">
        <v>74</v>
      </c>
      <c r="C309" t="str">
        <f>IFERROR(VLOOKUP(B309,Branches!A:B, 2, FALSE), B309&amp;"(NOT FOUND)")</f>
        <v>Bodija Branch</v>
      </c>
      <c r="D309" s="1">
        <v>45363</v>
      </c>
      <c r="E309" t="s">
        <v>15</v>
      </c>
      <c r="F309" t="str">
        <f>IFERROR(VLOOKUP(E309, Staff!A:B, 2, FALSE), E309&amp;" (NOT FOUND)")</f>
        <v>Ibrahim Sani</v>
      </c>
      <c r="G309" t="s">
        <v>64</v>
      </c>
      <c r="H309" t="s">
        <v>77</v>
      </c>
      <c r="J309" t="s">
        <v>894</v>
      </c>
      <c r="K309">
        <v>5</v>
      </c>
      <c r="L309" t="s">
        <v>20</v>
      </c>
      <c r="M309" t="s">
        <v>84</v>
      </c>
      <c r="N309" t="str">
        <f t="shared" si="4"/>
        <v/>
      </c>
      <c r="O309" t="s">
        <v>894</v>
      </c>
    </row>
    <row r="310" spans="1:15" x14ac:dyDescent="0.35">
      <c r="A310">
        <v>5330</v>
      </c>
      <c r="B310" t="s">
        <v>32</v>
      </c>
      <c r="C310" t="str">
        <f>IFERROR(VLOOKUP(B310,Branches!A:B, 2, FALSE), B310&amp;"(NOT FOUND)")</f>
        <v>Wuse Branch</v>
      </c>
      <c r="D310" s="1">
        <v>45343</v>
      </c>
      <c r="E310" t="s">
        <v>76</v>
      </c>
      <c r="F310" t="str">
        <f>IFERROR(VLOOKUP(E310, Staff!A:B, 2, FALSE), E310&amp;" (NOT FOUND)")</f>
        <v>Chika Nwankwo</v>
      </c>
      <c r="G310" t="s">
        <v>35</v>
      </c>
      <c r="H310" t="s">
        <v>136</v>
      </c>
      <c r="I310">
        <v>5</v>
      </c>
      <c r="J310">
        <v>23082.13</v>
      </c>
      <c r="K310" t="s">
        <v>894</v>
      </c>
      <c r="L310" t="s">
        <v>20</v>
      </c>
      <c r="M310" t="s">
        <v>84</v>
      </c>
      <c r="N310">
        <f t="shared" si="4"/>
        <v>115410.65000000001</v>
      </c>
      <c r="O310" t="s">
        <v>895</v>
      </c>
    </row>
    <row r="311" spans="1:15" x14ac:dyDescent="0.35">
      <c r="A311">
        <v>5225</v>
      </c>
      <c r="B311" t="s">
        <v>102</v>
      </c>
      <c r="C311" t="str">
        <f>IFERROR(VLOOKUP(B311,Branches!A:B, 2, FALSE), B311&amp;"(NOT FOUND)")</f>
        <v>GRA Branch</v>
      </c>
      <c r="D311" s="1">
        <v>45417</v>
      </c>
      <c r="E311" t="s">
        <v>51</v>
      </c>
      <c r="F311" t="str">
        <f>IFERROR(VLOOKUP(E311, Staff!A:B, 2, FALSE), E311&amp;" (NOT FOUND)")</f>
        <v>Halima Yusuf</v>
      </c>
      <c r="G311" t="s">
        <v>64</v>
      </c>
      <c r="H311" t="s">
        <v>141</v>
      </c>
      <c r="I311">
        <v>4</v>
      </c>
      <c r="J311">
        <v>26837.9</v>
      </c>
      <c r="K311">
        <v>15</v>
      </c>
      <c r="L311" t="s">
        <v>60</v>
      </c>
      <c r="M311" t="s">
        <v>38</v>
      </c>
      <c r="N311">
        <f t="shared" si="4"/>
        <v>91248.86</v>
      </c>
      <c r="O311" t="s">
        <v>896</v>
      </c>
    </row>
    <row r="312" spans="1:15" x14ac:dyDescent="0.35">
      <c r="A312">
        <v>5479</v>
      </c>
      <c r="B312" t="s">
        <v>88</v>
      </c>
      <c r="C312" t="str">
        <f>IFERROR(VLOOKUP(B312,Branches!A:B, 2, FALSE), B312&amp;"(NOT FOUND)")</f>
        <v>Lekki Branch</v>
      </c>
      <c r="D312" s="1">
        <v>45569</v>
      </c>
      <c r="E312" t="s">
        <v>25</v>
      </c>
      <c r="F312" t="str">
        <f>IFERROR(VLOOKUP(E312, Staff!A:B, 2, FALSE), E312&amp;" (NOT FOUND)")</f>
        <v>Tobi Adewale</v>
      </c>
      <c r="G312" t="s">
        <v>16</v>
      </c>
      <c r="H312" t="s">
        <v>42</v>
      </c>
      <c r="I312">
        <v>5</v>
      </c>
      <c r="J312" t="s">
        <v>894</v>
      </c>
      <c r="K312" t="s">
        <v>894</v>
      </c>
      <c r="L312" t="s">
        <v>20</v>
      </c>
      <c r="M312" t="s">
        <v>84</v>
      </c>
      <c r="N312" t="str">
        <f t="shared" si="4"/>
        <v/>
      </c>
      <c r="O312" t="s">
        <v>896</v>
      </c>
    </row>
    <row r="313" spans="1:15" x14ac:dyDescent="0.35">
      <c r="A313">
        <v>5124</v>
      </c>
      <c r="B313" t="s">
        <v>102</v>
      </c>
      <c r="C313" t="str">
        <f>IFERROR(VLOOKUP(B313,Branches!A:B, 2, FALSE), B313&amp;"(NOT FOUND)")</f>
        <v>GRA Branch</v>
      </c>
      <c r="D313" s="1">
        <v>45409</v>
      </c>
      <c r="E313" t="s">
        <v>76</v>
      </c>
      <c r="F313" t="str">
        <f>IFERROR(VLOOKUP(E313, Staff!A:B, 2, FALSE), E313&amp;" (NOT FOUND)")</f>
        <v>Chika Nwankwo</v>
      </c>
      <c r="G313" t="s">
        <v>64</v>
      </c>
      <c r="H313" t="s">
        <v>65</v>
      </c>
      <c r="I313">
        <v>1</v>
      </c>
      <c r="J313">
        <v>41083.17</v>
      </c>
      <c r="K313">
        <v>5</v>
      </c>
      <c r="L313" t="s">
        <v>20</v>
      </c>
      <c r="M313" t="s">
        <v>84</v>
      </c>
      <c r="N313">
        <f t="shared" si="4"/>
        <v>39029.011500000001</v>
      </c>
      <c r="O313" t="s">
        <v>894</v>
      </c>
    </row>
    <row r="314" spans="1:15" x14ac:dyDescent="0.35">
      <c r="A314">
        <v>5490</v>
      </c>
      <c r="B314" t="s">
        <v>74</v>
      </c>
      <c r="C314" t="str">
        <f>IFERROR(VLOOKUP(B314,Branches!A:B, 2, FALSE), B314&amp;"(NOT FOUND)")</f>
        <v>Bodija Branch</v>
      </c>
      <c r="D314" s="1">
        <v>45441</v>
      </c>
      <c r="E314" t="s">
        <v>34</v>
      </c>
      <c r="F314" t="str">
        <f>IFERROR(VLOOKUP(E314, Staff!A:B, 2, FALSE), E314&amp;" (NOT FOUND)")</f>
        <v>Funke Ajayi</v>
      </c>
      <c r="G314" t="s">
        <v>26</v>
      </c>
      <c r="H314" t="s">
        <v>167</v>
      </c>
      <c r="I314">
        <v>3</v>
      </c>
      <c r="J314">
        <v>32656.46</v>
      </c>
      <c r="K314" t="s">
        <v>894</v>
      </c>
      <c r="L314" t="s">
        <v>47</v>
      </c>
      <c r="M314" t="s">
        <v>84</v>
      </c>
      <c r="N314">
        <f t="shared" si="4"/>
        <v>97969.38</v>
      </c>
      <c r="O314" t="s">
        <v>896</v>
      </c>
    </row>
    <row r="315" spans="1:15" x14ac:dyDescent="0.35">
      <c r="A315">
        <v>5082</v>
      </c>
      <c r="B315" t="s">
        <v>102</v>
      </c>
      <c r="C315" t="str">
        <f>IFERROR(VLOOKUP(B315,Branches!A:B, 2, FALSE), B315&amp;"(NOT FOUND)")</f>
        <v>GRA Branch</v>
      </c>
      <c r="D315" s="1">
        <v>45402</v>
      </c>
      <c r="E315" t="s">
        <v>108</v>
      </c>
      <c r="F315" t="str">
        <f>IFERROR(VLOOKUP(E315, Staff!A:B, 2, FALSE), E315&amp;" (NOT FOUND)")</f>
        <v>Ronke Bakare</v>
      </c>
      <c r="G315" t="s">
        <v>64</v>
      </c>
      <c r="H315" t="s">
        <v>116</v>
      </c>
      <c r="I315">
        <v>4</v>
      </c>
      <c r="J315">
        <v>1890.55</v>
      </c>
      <c r="K315">
        <v>0</v>
      </c>
      <c r="L315" t="s">
        <v>60</v>
      </c>
      <c r="M315" t="s">
        <v>84</v>
      </c>
      <c r="N315">
        <f t="shared" si="4"/>
        <v>7562.2</v>
      </c>
      <c r="O315" t="s">
        <v>896</v>
      </c>
    </row>
    <row r="316" spans="1:15" x14ac:dyDescent="0.35">
      <c r="A316">
        <v>5190</v>
      </c>
      <c r="B316" t="s">
        <v>88</v>
      </c>
      <c r="C316" t="str">
        <f>IFERROR(VLOOKUP(B316,Branches!A:B, 2, FALSE), B316&amp;"(NOT FOUND)")</f>
        <v>Lekki Branch</v>
      </c>
      <c r="D316" s="1">
        <v>45302</v>
      </c>
      <c r="E316" t="s">
        <v>76</v>
      </c>
      <c r="F316" t="str">
        <f>IFERROR(VLOOKUP(E316, Staff!A:B, 2, FALSE), E316&amp;" (NOT FOUND)")</f>
        <v>Chika Nwankwo</v>
      </c>
      <c r="G316" t="s">
        <v>16</v>
      </c>
      <c r="H316" t="s">
        <v>17</v>
      </c>
      <c r="I316">
        <v>3</v>
      </c>
      <c r="J316" t="s">
        <v>894</v>
      </c>
      <c r="K316">
        <v>15</v>
      </c>
      <c r="L316" t="s">
        <v>47</v>
      </c>
      <c r="M316" t="s">
        <v>38</v>
      </c>
      <c r="N316" t="str">
        <f t="shared" si="4"/>
        <v/>
      </c>
      <c r="O316" t="s">
        <v>895</v>
      </c>
    </row>
    <row r="317" spans="1:15" x14ac:dyDescent="0.35">
      <c r="A317">
        <v>5037</v>
      </c>
      <c r="B317" t="s">
        <v>129</v>
      </c>
      <c r="C317" t="str">
        <f>IFERROR(VLOOKUP(B317,Branches!A:B, 2, FALSE), B317&amp;"(NOT FOUND)")</f>
        <v>Sabon Gari Branch</v>
      </c>
      <c r="D317" s="1">
        <v>45465</v>
      </c>
      <c r="E317" t="s">
        <v>90</v>
      </c>
      <c r="F317" t="str">
        <f>IFERROR(VLOOKUP(E317, Staff!A:B, 2, FALSE), E317&amp;" (NOT FOUND)")</f>
        <v>S099 (NOT FOUND)</v>
      </c>
      <c r="G317" t="s">
        <v>26</v>
      </c>
      <c r="H317" t="s">
        <v>27</v>
      </c>
      <c r="J317">
        <v>6761.47</v>
      </c>
      <c r="K317">
        <v>10</v>
      </c>
      <c r="L317" t="s">
        <v>47</v>
      </c>
      <c r="M317" t="s">
        <v>38</v>
      </c>
      <c r="N317" t="str">
        <f t="shared" si="4"/>
        <v/>
      </c>
      <c r="O317" t="s">
        <v>895</v>
      </c>
    </row>
    <row r="318" spans="1:15" x14ac:dyDescent="0.35">
      <c r="A318">
        <v>5466</v>
      </c>
      <c r="B318" t="s">
        <v>129</v>
      </c>
      <c r="C318" t="str">
        <f>IFERROR(VLOOKUP(B318,Branches!A:B, 2, FALSE), B318&amp;"(NOT FOUND)")</f>
        <v>Sabon Gari Branch</v>
      </c>
      <c r="D318" s="1">
        <v>45413</v>
      </c>
      <c r="E318" t="s">
        <v>108</v>
      </c>
      <c r="F318" t="str">
        <f>IFERROR(VLOOKUP(E318, Staff!A:B, 2, FALSE), E318&amp;" (NOT FOUND)")</f>
        <v>Ronke Bakare</v>
      </c>
      <c r="G318" t="s">
        <v>64</v>
      </c>
      <c r="H318" t="s">
        <v>116</v>
      </c>
      <c r="I318">
        <v>5</v>
      </c>
      <c r="J318">
        <v>44769.43</v>
      </c>
      <c r="K318">
        <v>0</v>
      </c>
      <c r="L318" t="s">
        <v>47</v>
      </c>
      <c r="M318" t="s">
        <v>84</v>
      </c>
      <c r="N318">
        <f t="shared" si="4"/>
        <v>223847.15</v>
      </c>
      <c r="O318" t="s">
        <v>895</v>
      </c>
    </row>
    <row r="319" spans="1:15" x14ac:dyDescent="0.35">
      <c r="A319">
        <v>5497</v>
      </c>
      <c r="B319" t="s">
        <v>74</v>
      </c>
      <c r="C319" t="str">
        <f>IFERROR(VLOOKUP(B319,Branches!A:B, 2, FALSE), B319&amp;"(NOT FOUND)")</f>
        <v>Bodija Branch</v>
      </c>
      <c r="D319" s="1">
        <v>45474</v>
      </c>
      <c r="E319" t="s">
        <v>76</v>
      </c>
      <c r="F319" t="str">
        <f>IFERROR(VLOOKUP(E319, Staff!A:B, 2, FALSE), E319&amp;" (NOT FOUND)")</f>
        <v>Chika Nwankwo</v>
      </c>
      <c r="G319" t="s">
        <v>16</v>
      </c>
      <c r="H319" t="s">
        <v>170</v>
      </c>
      <c r="J319">
        <v>2707.84</v>
      </c>
      <c r="K319">
        <v>0</v>
      </c>
      <c r="L319" t="s">
        <v>60</v>
      </c>
      <c r="M319" t="s">
        <v>84</v>
      </c>
      <c r="N319" t="str">
        <f t="shared" si="4"/>
        <v/>
      </c>
      <c r="O319" t="s">
        <v>895</v>
      </c>
    </row>
    <row r="320" spans="1:15" x14ac:dyDescent="0.35">
      <c r="A320">
        <v>5021</v>
      </c>
      <c r="B320" t="s">
        <v>102</v>
      </c>
      <c r="C320" t="str">
        <f>IFERROR(VLOOKUP(B320,Branches!A:B, 2, FALSE), B320&amp;"(NOT FOUND)")</f>
        <v>GRA Branch</v>
      </c>
      <c r="D320" s="1">
        <v>45406</v>
      </c>
      <c r="E320" t="s">
        <v>51</v>
      </c>
      <c r="F320" t="str">
        <f>IFERROR(VLOOKUP(E320, Staff!A:B, 2, FALSE), E320&amp;" (NOT FOUND)")</f>
        <v>Halima Yusuf</v>
      </c>
      <c r="G320" t="s">
        <v>64</v>
      </c>
      <c r="H320" t="s">
        <v>65</v>
      </c>
      <c r="I320">
        <v>2</v>
      </c>
      <c r="J320">
        <v>43555.74</v>
      </c>
      <c r="K320">
        <v>15</v>
      </c>
      <c r="L320" t="s">
        <v>60</v>
      </c>
      <c r="M320" t="s">
        <v>38</v>
      </c>
      <c r="N320">
        <f t="shared" si="4"/>
        <v>74044.758000000002</v>
      </c>
      <c r="O320" t="s">
        <v>895</v>
      </c>
    </row>
    <row r="321" spans="1:15" x14ac:dyDescent="0.35">
      <c r="A321">
        <v>5454</v>
      </c>
      <c r="B321" t="s">
        <v>88</v>
      </c>
      <c r="C321" t="str">
        <f>IFERROR(VLOOKUP(B321,Branches!A:B, 2, FALSE), B321&amp;"(NOT FOUND)")</f>
        <v>Lekki Branch</v>
      </c>
      <c r="D321" s="1">
        <v>45469</v>
      </c>
      <c r="E321" t="s">
        <v>86</v>
      </c>
      <c r="F321" t="str">
        <f>IFERROR(VLOOKUP(E321, Staff!A:B, 2, FALSE), E321&amp;" (NOT FOUND)")</f>
        <v>Ekene Obi</v>
      </c>
      <c r="G321" t="s">
        <v>64</v>
      </c>
      <c r="H321" t="s">
        <v>77</v>
      </c>
      <c r="I321">
        <v>4</v>
      </c>
      <c r="J321" t="s">
        <v>894</v>
      </c>
      <c r="K321" t="s">
        <v>894</v>
      </c>
      <c r="L321" t="s">
        <v>47</v>
      </c>
      <c r="M321" t="s">
        <v>84</v>
      </c>
      <c r="N321" t="str">
        <f t="shared" si="4"/>
        <v/>
      </c>
      <c r="O321" t="s">
        <v>896</v>
      </c>
    </row>
    <row r="322" spans="1:15" x14ac:dyDescent="0.35">
      <c r="A322">
        <v>5180</v>
      </c>
      <c r="B322" t="s">
        <v>102</v>
      </c>
      <c r="C322" t="str">
        <f>IFERROR(VLOOKUP(B322,Branches!A:B, 2, FALSE), B322&amp;"(NOT FOUND)")</f>
        <v>GRA Branch</v>
      </c>
      <c r="D322" s="1">
        <v>45416</v>
      </c>
      <c r="E322" t="s">
        <v>86</v>
      </c>
      <c r="F322" t="str">
        <f>IFERROR(VLOOKUP(E322, Staff!A:B, 2, FALSE), E322&amp;" (NOT FOUND)")</f>
        <v>Ekene Obi</v>
      </c>
      <c r="G322" t="s">
        <v>64</v>
      </c>
      <c r="H322" t="s">
        <v>116</v>
      </c>
      <c r="I322">
        <v>3</v>
      </c>
      <c r="J322">
        <v>3189.98</v>
      </c>
      <c r="K322" t="s">
        <v>894</v>
      </c>
      <c r="L322" t="s">
        <v>60</v>
      </c>
      <c r="M322" t="s">
        <v>84</v>
      </c>
      <c r="N322">
        <f t="shared" si="4"/>
        <v>9569.94</v>
      </c>
      <c r="O322" t="s">
        <v>895</v>
      </c>
    </row>
    <row r="323" spans="1:15" x14ac:dyDescent="0.35">
      <c r="A323">
        <v>5012</v>
      </c>
      <c r="B323" t="s">
        <v>88</v>
      </c>
      <c r="C323" t="str">
        <f>IFERROR(VLOOKUP(B323,Branches!A:B, 2, FALSE), B323&amp;"(NOT FOUND)")</f>
        <v>Lekki Branch</v>
      </c>
      <c r="D323" s="1">
        <v>45391</v>
      </c>
      <c r="E323" t="s">
        <v>25</v>
      </c>
      <c r="F323" t="str">
        <f>IFERROR(VLOOKUP(E323, Staff!A:B, 2, FALSE), E323&amp;" (NOT FOUND)")</f>
        <v>Tobi Adewale</v>
      </c>
      <c r="G323" t="s">
        <v>64</v>
      </c>
      <c r="H323" t="s">
        <v>116</v>
      </c>
      <c r="I323">
        <v>2</v>
      </c>
      <c r="J323">
        <v>16328.48</v>
      </c>
      <c r="K323" t="s">
        <v>894</v>
      </c>
      <c r="L323" t="s">
        <v>47</v>
      </c>
      <c r="M323" t="s">
        <v>84</v>
      </c>
      <c r="N323">
        <f t="shared" ref="N323:N386" si="5">IF(OR(I323="",J323=""),"",IF(OR(K323="", K323=0), I323*J323, (I323*J323)-(K323/100)*I323*J323))</f>
        <v>32656.959999999999</v>
      </c>
      <c r="O323" t="s">
        <v>894</v>
      </c>
    </row>
    <row r="324" spans="1:15" x14ac:dyDescent="0.35">
      <c r="A324">
        <v>5283</v>
      </c>
      <c r="B324" t="s">
        <v>32</v>
      </c>
      <c r="C324" t="str">
        <f>IFERROR(VLOOKUP(B324,Branches!A:B, 2, FALSE), B324&amp;"(NOT FOUND)")</f>
        <v>Wuse Branch</v>
      </c>
      <c r="D324" s="1">
        <v>45301</v>
      </c>
      <c r="E324" t="s">
        <v>25</v>
      </c>
      <c r="F324" t="str">
        <f>IFERROR(VLOOKUP(E324, Staff!A:B, 2, FALSE), E324&amp;" (NOT FOUND)")</f>
        <v>Tobi Adewale</v>
      </c>
      <c r="G324" t="s">
        <v>26</v>
      </c>
      <c r="H324" t="s">
        <v>112</v>
      </c>
      <c r="I324">
        <v>3</v>
      </c>
      <c r="J324" t="s">
        <v>894</v>
      </c>
      <c r="K324">
        <v>0</v>
      </c>
      <c r="L324" t="s">
        <v>20</v>
      </c>
      <c r="M324" t="s">
        <v>84</v>
      </c>
      <c r="N324" t="str">
        <f t="shared" si="5"/>
        <v/>
      </c>
      <c r="O324" t="s">
        <v>895</v>
      </c>
    </row>
    <row r="325" spans="1:15" x14ac:dyDescent="0.35">
      <c r="A325">
        <v>5446</v>
      </c>
      <c r="B325" t="s">
        <v>88</v>
      </c>
      <c r="C325" t="str">
        <f>IFERROR(VLOOKUP(B325,Branches!A:B, 2, FALSE), B325&amp;"(NOT FOUND)")</f>
        <v>Lekki Branch</v>
      </c>
      <c r="D325" s="1">
        <v>45489</v>
      </c>
      <c r="E325" t="s">
        <v>57</v>
      </c>
      <c r="F325" t="str">
        <f>IFERROR(VLOOKUP(E325, Staff!A:B, 2, FALSE), E325&amp;" (NOT FOUND)")</f>
        <v>Kelechi Umeh</v>
      </c>
      <c r="G325" t="s">
        <v>35</v>
      </c>
      <c r="H325" t="s">
        <v>136</v>
      </c>
      <c r="I325">
        <v>3</v>
      </c>
      <c r="J325" t="s">
        <v>894</v>
      </c>
      <c r="K325">
        <v>15</v>
      </c>
      <c r="L325" t="s">
        <v>20</v>
      </c>
      <c r="M325" t="s">
        <v>38</v>
      </c>
      <c r="N325" t="str">
        <f t="shared" si="5"/>
        <v/>
      </c>
      <c r="O325" t="s">
        <v>895</v>
      </c>
    </row>
    <row r="326" spans="1:15" x14ac:dyDescent="0.35">
      <c r="A326">
        <v>5333</v>
      </c>
      <c r="B326" t="s">
        <v>102</v>
      </c>
      <c r="C326" t="str">
        <f>IFERROR(VLOOKUP(B326,Branches!A:B, 2, FALSE), B326&amp;"(NOT FOUND)")</f>
        <v>GRA Branch</v>
      </c>
      <c r="D326" s="1">
        <v>45475</v>
      </c>
      <c r="E326" t="s">
        <v>15</v>
      </c>
      <c r="F326" t="str">
        <f>IFERROR(VLOOKUP(E326, Staff!A:B, 2, FALSE), E326&amp;" (NOT FOUND)")</f>
        <v>Ibrahim Sani</v>
      </c>
      <c r="G326" t="s">
        <v>16</v>
      </c>
      <c r="H326" t="s">
        <v>170</v>
      </c>
      <c r="I326">
        <v>4</v>
      </c>
      <c r="J326">
        <v>28236.38</v>
      </c>
      <c r="K326">
        <v>0</v>
      </c>
      <c r="L326" t="s">
        <v>47</v>
      </c>
      <c r="M326" t="s">
        <v>84</v>
      </c>
      <c r="N326">
        <f t="shared" si="5"/>
        <v>112945.52</v>
      </c>
      <c r="O326" t="s">
        <v>896</v>
      </c>
    </row>
    <row r="327" spans="1:15" x14ac:dyDescent="0.35">
      <c r="A327">
        <v>5379</v>
      </c>
      <c r="B327" t="s">
        <v>129</v>
      </c>
      <c r="C327" t="str">
        <f>IFERROR(VLOOKUP(B327,Branches!A:B, 2, FALSE), B327&amp;"(NOT FOUND)")</f>
        <v>Sabon Gari Branch</v>
      </c>
      <c r="D327" s="1">
        <v>45415</v>
      </c>
      <c r="E327" t="s">
        <v>90</v>
      </c>
      <c r="F327" t="str">
        <f>IFERROR(VLOOKUP(E327, Staff!A:B, 2, FALSE), E327&amp;" (NOT FOUND)")</f>
        <v>S099 (NOT FOUND)</v>
      </c>
      <c r="G327" t="s">
        <v>35</v>
      </c>
      <c r="H327" t="s">
        <v>155</v>
      </c>
      <c r="I327">
        <v>5</v>
      </c>
      <c r="J327">
        <v>9154.33</v>
      </c>
      <c r="K327">
        <v>0</v>
      </c>
      <c r="L327" t="s">
        <v>60</v>
      </c>
      <c r="M327" t="s">
        <v>84</v>
      </c>
      <c r="N327">
        <f t="shared" si="5"/>
        <v>45771.65</v>
      </c>
      <c r="O327" t="s">
        <v>895</v>
      </c>
    </row>
    <row r="328" spans="1:15" x14ac:dyDescent="0.35">
      <c r="A328">
        <v>5239</v>
      </c>
      <c r="B328" t="s">
        <v>74</v>
      </c>
      <c r="C328" t="str">
        <f>IFERROR(VLOOKUP(B328,Branches!A:B, 2, FALSE), B328&amp;"(NOT FOUND)")</f>
        <v>Bodija Branch</v>
      </c>
      <c r="D328" s="1">
        <v>45477</v>
      </c>
      <c r="E328" t="s">
        <v>57</v>
      </c>
      <c r="F328" t="str">
        <f>IFERROR(VLOOKUP(E328, Staff!A:B, 2, FALSE), E328&amp;" (NOT FOUND)")</f>
        <v>Kelechi Umeh</v>
      </c>
      <c r="G328" t="s">
        <v>35</v>
      </c>
      <c r="H328" t="s">
        <v>36</v>
      </c>
      <c r="I328">
        <v>3</v>
      </c>
      <c r="J328" t="s">
        <v>894</v>
      </c>
      <c r="K328" t="s">
        <v>894</v>
      </c>
      <c r="L328" t="s">
        <v>20</v>
      </c>
      <c r="M328" t="s">
        <v>38</v>
      </c>
      <c r="N328" t="str">
        <f t="shared" si="5"/>
        <v/>
      </c>
      <c r="O328" t="s">
        <v>895</v>
      </c>
    </row>
    <row r="329" spans="1:15" x14ac:dyDescent="0.35">
      <c r="A329">
        <v>5262</v>
      </c>
      <c r="B329" t="s">
        <v>32</v>
      </c>
      <c r="C329" t="str">
        <f>IFERROR(VLOOKUP(B329,Branches!A:B, 2, FALSE), B329&amp;"(NOT FOUND)")</f>
        <v>Wuse Branch</v>
      </c>
      <c r="D329" s="1">
        <v>45400</v>
      </c>
      <c r="E329" t="s">
        <v>51</v>
      </c>
      <c r="F329" t="str">
        <f>IFERROR(VLOOKUP(E329, Staff!A:B, 2, FALSE), E329&amp;" (NOT FOUND)")</f>
        <v>Halima Yusuf</v>
      </c>
      <c r="G329" t="s">
        <v>16</v>
      </c>
      <c r="H329" t="s">
        <v>170</v>
      </c>
      <c r="I329">
        <v>3</v>
      </c>
      <c r="J329">
        <v>19412.54</v>
      </c>
      <c r="K329" t="s">
        <v>894</v>
      </c>
      <c r="L329" t="s">
        <v>20</v>
      </c>
      <c r="M329" t="s">
        <v>84</v>
      </c>
      <c r="N329">
        <f t="shared" si="5"/>
        <v>58237.62</v>
      </c>
      <c r="O329" t="s">
        <v>896</v>
      </c>
    </row>
    <row r="330" spans="1:15" x14ac:dyDescent="0.35">
      <c r="A330">
        <v>5291</v>
      </c>
      <c r="B330" t="s">
        <v>102</v>
      </c>
      <c r="C330" t="str">
        <f>IFERROR(VLOOKUP(B330,Branches!A:B, 2, FALSE), B330&amp;"(NOT FOUND)")</f>
        <v>GRA Branch</v>
      </c>
      <c r="D330" s="1">
        <v>45325</v>
      </c>
      <c r="E330" t="s">
        <v>15</v>
      </c>
      <c r="F330" t="str">
        <f>IFERROR(VLOOKUP(E330, Staff!A:B, 2, FALSE), E330&amp;" (NOT FOUND)")</f>
        <v>Ibrahim Sani</v>
      </c>
      <c r="G330" t="s">
        <v>16</v>
      </c>
      <c r="H330" t="s">
        <v>42</v>
      </c>
      <c r="I330">
        <v>5</v>
      </c>
      <c r="J330">
        <v>11017.35</v>
      </c>
      <c r="K330">
        <v>15</v>
      </c>
      <c r="L330" t="s">
        <v>20</v>
      </c>
      <c r="M330" t="s">
        <v>38</v>
      </c>
      <c r="N330">
        <f t="shared" si="5"/>
        <v>46823.737500000003</v>
      </c>
      <c r="O330" t="s">
        <v>895</v>
      </c>
    </row>
    <row r="331" spans="1:15" x14ac:dyDescent="0.35">
      <c r="A331">
        <v>5059</v>
      </c>
      <c r="B331" t="s">
        <v>102</v>
      </c>
      <c r="C331" t="str">
        <f>IFERROR(VLOOKUP(B331,Branches!A:B, 2, FALSE), B331&amp;"(NOT FOUND)")</f>
        <v>GRA Branch</v>
      </c>
      <c r="D331" s="1">
        <v>45459</v>
      </c>
      <c r="E331" t="s">
        <v>15</v>
      </c>
      <c r="F331" t="str">
        <f>IFERROR(VLOOKUP(E331, Staff!A:B, 2, FALSE), E331&amp;" (NOT FOUND)")</f>
        <v>Ibrahim Sani</v>
      </c>
      <c r="G331" t="s">
        <v>35</v>
      </c>
      <c r="H331" t="s">
        <v>155</v>
      </c>
      <c r="I331">
        <v>2</v>
      </c>
      <c r="J331">
        <v>2465.41</v>
      </c>
      <c r="K331" t="s">
        <v>894</v>
      </c>
      <c r="L331" t="s">
        <v>47</v>
      </c>
      <c r="M331" t="s">
        <v>84</v>
      </c>
      <c r="N331">
        <f t="shared" si="5"/>
        <v>4930.82</v>
      </c>
      <c r="O331" t="s">
        <v>896</v>
      </c>
    </row>
    <row r="332" spans="1:15" x14ac:dyDescent="0.35">
      <c r="A332">
        <v>5150</v>
      </c>
      <c r="B332" t="s">
        <v>129</v>
      </c>
      <c r="C332" t="str">
        <f>IFERROR(VLOOKUP(B332,Branches!A:B, 2, FALSE), B332&amp;"(NOT FOUND)")</f>
        <v>Sabon Gari Branch</v>
      </c>
      <c r="D332" s="1">
        <v>45309</v>
      </c>
      <c r="E332" t="s">
        <v>25</v>
      </c>
      <c r="F332" t="str">
        <f>IFERROR(VLOOKUP(E332, Staff!A:B, 2, FALSE), E332&amp;" (NOT FOUND)")</f>
        <v>Tobi Adewale</v>
      </c>
      <c r="G332" t="s">
        <v>16</v>
      </c>
      <c r="H332" t="s">
        <v>17</v>
      </c>
      <c r="I332">
        <v>3</v>
      </c>
      <c r="J332" t="s">
        <v>894</v>
      </c>
      <c r="K332">
        <v>0</v>
      </c>
      <c r="L332" t="s">
        <v>47</v>
      </c>
      <c r="M332" t="s">
        <v>38</v>
      </c>
      <c r="N332" t="str">
        <f t="shared" si="5"/>
        <v/>
      </c>
      <c r="O332" t="s">
        <v>895</v>
      </c>
    </row>
    <row r="333" spans="1:15" x14ac:dyDescent="0.35">
      <c r="A333">
        <v>5159</v>
      </c>
      <c r="B333" t="s">
        <v>32</v>
      </c>
      <c r="C333" t="str">
        <f>IFERROR(VLOOKUP(B333,Branches!A:B, 2, FALSE), B333&amp;"(NOT FOUND)")</f>
        <v>Wuse Branch</v>
      </c>
      <c r="D333" s="1">
        <v>45412</v>
      </c>
      <c r="E333" t="s">
        <v>51</v>
      </c>
      <c r="F333" t="str">
        <f>IFERROR(VLOOKUP(E333, Staff!A:B, 2, FALSE), E333&amp;" (NOT FOUND)")</f>
        <v>Halima Yusuf</v>
      </c>
      <c r="G333" t="s">
        <v>26</v>
      </c>
      <c r="H333" t="s">
        <v>52</v>
      </c>
      <c r="J333">
        <v>37220.31</v>
      </c>
      <c r="K333" t="s">
        <v>894</v>
      </c>
      <c r="L333" t="s">
        <v>20</v>
      </c>
      <c r="M333" t="s">
        <v>84</v>
      </c>
      <c r="N333" t="str">
        <f t="shared" si="5"/>
        <v/>
      </c>
      <c r="O333" t="s">
        <v>895</v>
      </c>
    </row>
    <row r="334" spans="1:15" x14ac:dyDescent="0.35">
      <c r="A334">
        <v>5066</v>
      </c>
      <c r="B334" t="s">
        <v>102</v>
      </c>
      <c r="C334" t="str">
        <f>IFERROR(VLOOKUP(B334,Branches!A:B, 2, FALSE), B334&amp;"(NOT FOUND)")</f>
        <v>GRA Branch</v>
      </c>
      <c r="D334" s="1">
        <v>45496</v>
      </c>
      <c r="E334" t="s">
        <v>51</v>
      </c>
      <c r="F334" t="str">
        <f>IFERROR(VLOOKUP(E334, Staff!A:B, 2, FALSE), E334&amp;" (NOT FOUND)")</f>
        <v>Halima Yusuf</v>
      </c>
      <c r="G334" t="s">
        <v>16</v>
      </c>
      <c r="H334" t="s">
        <v>170</v>
      </c>
      <c r="I334">
        <v>4</v>
      </c>
      <c r="J334" t="s">
        <v>894</v>
      </c>
      <c r="K334" t="s">
        <v>894</v>
      </c>
      <c r="L334" t="s">
        <v>20</v>
      </c>
      <c r="M334" t="s">
        <v>84</v>
      </c>
      <c r="N334" t="str">
        <f t="shared" si="5"/>
        <v/>
      </c>
      <c r="O334" t="s">
        <v>895</v>
      </c>
    </row>
    <row r="335" spans="1:15" x14ac:dyDescent="0.35">
      <c r="A335">
        <v>5242</v>
      </c>
      <c r="B335" t="s">
        <v>32</v>
      </c>
      <c r="C335" t="str">
        <f>IFERROR(VLOOKUP(B335,Branches!A:B, 2, FALSE), B335&amp;"(NOT FOUND)")</f>
        <v>Wuse Branch</v>
      </c>
      <c r="D335" s="1">
        <v>45498</v>
      </c>
      <c r="E335" t="s">
        <v>57</v>
      </c>
      <c r="F335" t="str">
        <f>IFERROR(VLOOKUP(E335, Staff!A:B, 2, FALSE), E335&amp;" (NOT FOUND)")</f>
        <v>Kelechi Umeh</v>
      </c>
      <c r="G335" t="s">
        <v>64</v>
      </c>
      <c r="H335" t="s">
        <v>65</v>
      </c>
      <c r="J335">
        <v>3434.77</v>
      </c>
      <c r="K335" t="s">
        <v>894</v>
      </c>
      <c r="L335" t="s">
        <v>47</v>
      </c>
      <c r="M335" t="s">
        <v>84</v>
      </c>
      <c r="N335" t="str">
        <f t="shared" si="5"/>
        <v/>
      </c>
      <c r="O335" t="s">
        <v>895</v>
      </c>
    </row>
    <row r="336" spans="1:15" x14ac:dyDescent="0.35">
      <c r="A336">
        <v>5038</v>
      </c>
      <c r="B336" t="s">
        <v>32</v>
      </c>
      <c r="C336" t="str">
        <f>IFERROR(VLOOKUP(B336,Branches!A:B, 2, FALSE), B336&amp;"(NOT FOUND)")</f>
        <v>Wuse Branch</v>
      </c>
      <c r="D336" s="1">
        <v>45435</v>
      </c>
      <c r="E336" t="s">
        <v>34</v>
      </c>
      <c r="F336" t="str">
        <f>IFERROR(VLOOKUP(E336, Staff!A:B, 2, FALSE), E336&amp;" (NOT FOUND)")</f>
        <v>Funke Ajayi</v>
      </c>
      <c r="G336" t="s">
        <v>64</v>
      </c>
      <c r="H336" t="s">
        <v>141</v>
      </c>
      <c r="I336">
        <v>4</v>
      </c>
      <c r="J336">
        <v>44946.27</v>
      </c>
      <c r="K336">
        <v>15</v>
      </c>
      <c r="L336" t="s">
        <v>47</v>
      </c>
      <c r="M336" t="s">
        <v>84</v>
      </c>
      <c r="N336">
        <f t="shared" si="5"/>
        <v>152817.318</v>
      </c>
      <c r="O336" t="s">
        <v>896</v>
      </c>
    </row>
    <row r="337" spans="1:15" x14ac:dyDescent="0.35">
      <c r="A337">
        <v>5404</v>
      </c>
      <c r="B337" t="s">
        <v>129</v>
      </c>
      <c r="C337" t="str">
        <f>IFERROR(VLOOKUP(B337,Branches!A:B, 2, FALSE), B337&amp;"(NOT FOUND)")</f>
        <v>Sabon Gari Branch</v>
      </c>
      <c r="D337" s="1">
        <v>45477</v>
      </c>
      <c r="E337" t="s">
        <v>57</v>
      </c>
      <c r="F337" t="str">
        <f>IFERROR(VLOOKUP(E337, Staff!A:B, 2, FALSE), E337&amp;" (NOT FOUND)")</f>
        <v>Kelechi Umeh</v>
      </c>
      <c r="G337" t="s">
        <v>26</v>
      </c>
      <c r="H337" t="s">
        <v>167</v>
      </c>
      <c r="J337" t="s">
        <v>894</v>
      </c>
      <c r="K337" t="s">
        <v>894</v>
      </c>
      <c r="L337" t="s">
        <v>47</v>
      </c>
      <c r="M337" t="s">
        <v>84</v>
      </c>
      <c r="N337" t="str">
        <f t="shared" si="5"/>
        <v/>
      </c>
      <c r="O337" t="s">
        <v>895</v>
      </c>
    </row>
    <row r="338" spans="1:15" x14ac:dyDescent="0.35">
      <c r="A338">
        <v>5299</v>
      </c>
      <c r="B338" t="s">
        <v>102</v>
      </c>
      <c r="C338" t="str">
        <f>IFERROR(VLOOKUP(B338,Branches!A:B, 2, FALSE), B338&amp;"(NOT FOUND)")</f>
        <v>GRA Branch</v>
      </c>
      <c r="D338" s="1">
        <v>45629</v>
      </c>
      <c r="E338" t="s">
        <v>34</v>
      </c>
      <c r="F338" t="str">
        <f>IFERROR(VLOOKUP(E338, Staff!A:B, 2, FALSE), E338&amp;" (NOT FOUND)")</f>
        <v>Funke Ajayi</v>
      </c>
      <c r="G338" t="s">
        <v>35</v>
      </c>
      <c r="H338" t="s">
        <v>58</v>
      </c>
      <c r="I338">
        <v>3</v>
      </c>
      <c r="J338" t="s">
        <v>894</v>
      </c>
      <c r="K338" t="s">
        <v>894</v>
      </c>
      <c r="L338" t="s">
        <v>20</v>
      </c>
      <c r="M338" t="s">
        <v>84</v>
      </c>
      <c r="N338" t="str">
        <f t="shared" si="5"/>
        <v/>
      </c>
      <c r="O338" t="s">
        <v>895</v>
      </c>
    </row>
    <row r="339" spans="1:15" x14ac:dyDescent="0.35">
      <c r="A339">
        <v>5268</v>
      </c>
      <c r="B339" t="s">
        <v>88</v>
      </c>
      <c r="C339" t="str">
        <f>IFERROR(VLOOKUP(B339,Branches!A:B, 2, FALSE), B339&amp;"(NOT FOUND)")</f>
        <v>Lekki Branch</v>
      </c>
      <c r="D339" s="1">
        <v>45349</v>
      </c>
      <c r="E339" t="s">
        <v>51</v>
      </c>
      <c r="F339" t="str">
        <f>IFERROR(VLOOKUP(E339, Staff!A:B, 2, FALSE), E339&amp;" (NOT FOUND)")</f>
        <v>Halima Yusuf</v>
      </c>
      <c r="G339" t="s">
        <v>64</v>
      </c>
      <c r="H339" t="s">
        <v>141</v>
      </c>
      <c r="I339">
        <v>2</v>
      </c>
      <c r="J339">
        <v>6657.01</v>
      </c>
      <c r="K339">
        <v>0</v>
      </c>
      <c r="L339" t="s">
        <v>47</v>
      </c>
      <c r="M339" t="s">
        <v>38</v>
      </c>
      <c r="N339">
        <f t="shared" si="5"/>
        <v>13314.02</v>
      </c>
      <c r="O339" t="s">
        <v>896</v>
      </c>
    </row>
    <row r="340" spans="1:15" x14ac:dyDescent="0.35">
      <c r="A340">
        <v>5107</v>
      </c>
      <c r="B340" t="s">
        <v>88</v>
      </c>
      <c r="C340" t="str">
        <f>IFERROR(VLOOKUP(B340,Branches!A:B, 2, FALSE), B340&amp;"(NOT FOUND)")</f>
        <v>Lekki Branch</v>
      </c>
      <c r="D340" s="1">
        <v>45547</v>
      </c>
      <c r="E340" t="s">
        <v>86</v>
      </c>
      <c r="F340" t="str">
        <f>IFERROR(VLOOKUP(E340, Staff!A:B, 2, FALSE), E340&amp;" (NOT FOUND)")</f>
        <v>Ekene Obi</v>
      </c>
      <c r="G340" t="s">
        <v>26</v>
      </c>
      <c r="H340" t="s">
        <v>52</v>
      </c>
      <c r="I340">
        <v>3</v>
      </c>
      <c r="J340">
        <v>34944.03</v>
      </c>
      <c r="K340" t="s">
        <v>894</v>
      </c>
      <c r="L340" t="s">
        <v>20</v>
      </c>
      <c r="M340" t="s">
        <v>38</v>
      </c>
      <c r="N340">
        <f t="shared" si="5"/>
        <v>104832.09</v>
      </c>
      <c r="O340" t="s">
        <v>895</v>
      </c>
    </row>
    <row r="341" spans="1:15" x14ac:dyDescent="0.35">
      <c r="A341">
        <v>5247</v>
      </c>
      <c r="B341" t="s">
        <v>88</v>
      </c>
      <c r="C341" t="str">
        <f>IFERROR(VLOOKUP(B341,Branches!A:B, 2, FALSE), B341&amp;"(NOT FOUND)")</f>
        <v>Lekki Branch</v>
      </c>
      <c r="D341" s="1">
        <v>45420</v>
      </c>
      <c r="E341" t="s">
        <v>25</v>
      </c>
      <c r="F341" t="str">
        <f>IFERROR(VLOOKUP(E341, Staff!A:B, 2, FALSE), E341&amp;" (NOT FOUND)")</f>
        <v>Tobi Adewale</v>
      </c>
      <c r="G341" t="s">
        <v>26</v>
      </c>
      <c r="H341" t="s">
        <v>27</v>
      </c>
      <c r="I341">
        <v>5</v>
      </c>
      <c r="J341">
        <v>18701.75</v>
      </c>
      <c r="K341" t="s">
        <v>894</v>
      </c>
      <c r="L341" t="s">
        <v>47</v>
      </c>
      <c r="M341" t="s">
        <v>84</v>
      </c>
      <c r="N341">
        <f t="shared" si="5"/>
        <v>93508.75</v>
      </c>
      <c r="O341" t="s">
        <v>895</v>
      </c>
    </row>
    <row r="342" spans="1:15" x14ac:dyDescent="0.35">
      <c r="A342">
        <v>5220</v>
      </c>
      <c r="B342" t="s">
        <v>102</v>
      </c>
      <c r="C342" t="str">
        <f>IFERROR(VLOOKUP(B342,Branches!A:B, 2, FALSE), B342&amp;"(NOT FOUND)")</f>
        <v>GRA Branch</v>
      </c>
      <c r="D342" s="1">
        <v>45503</v>
      </c>
      <c r="E342" t="s">
        <v>108</v>
      </c>
      <c r="F342" t="str">
        <f>IFERROR(VLOOKUP(E342, Staff!A:B, 2, FALSE), E342&amp;" (NOT FOUND)")</f>
        <v>Ronke Bakare</v>
      </c>
      <c r="G342" t="s">
        <v>16</v>
      </c>
      <c r="H342" t="s">
        <v>82</v>
      </c>
      <c r="I342">
        <v>2</v>
      </c>
      <c r="J342">
        <v>27004.01</v>
      </c>
      <c r="K342">
        <v>10</v>
      </c>
      <c r="L342" t="s">
        <v>20</v>
      </c>
      <c r="M342" t="s">
        <v>84</v>
      </c>
      <c r="N342">
        <f t="shared" si="5"/>
        <v>48607.217999999993</v>
      </c>
      <c r="O342" t="s">
        <v>896</v>
      </c>
    </row>
    <row r="343" spans="1:15" x14ac:dyDescent="0.35">
      <c r="A343">
        <v>5450</v>
      </c>
      <c r="B343" t="s">
        <v>102</v>
      </c>
      <c r="C343" t="str">
        <f>IFERROR(VLOOKUP(B343,Branches!A:B, 2, FALSE), B343&amp;"(NOT FOUND)")</f>
        <v>GRA Branch</v>
      </c>
      <c r="D343" s="1">
        <v>45384</v>
      </c>
      <c r="E343" t="s">
        <v>25</v>
      </c>
      <c r="F343" t="str">
        <f>IFERROR(VLOOKUP(E343, Staff!A:B, 2, FALSE), E343&amp;" (NOT FOUND)")</f>
        <v>Tobi Adewale</v>
      </c>
      <c r="G343" t="s">
        <v>64</v>
      </c>
      <c r="H343" t="s">
        <v>133</v>
      </c>
      <c r="J343" t="s">
        <v>894</v>
      </c>
      <c r="K343" t="s">
        <v>894</v>
      </c>
      <c r="L343" t="s">
        <v>20</v>
      </c>
      <c r="M343" t="s">
        <v>38</v>
      </c>
      <c r="N343" t="str">
        <f t="shared" si="5"/>
        <v/>
      </c>
      <c r="O343" t="s">
        <v>896</v>
      </c>
    </row>
    <row r="344" spans="1:15" x14ac:dyDescent="0.35">
      <c r="A344">
        <v>5025</v>
      </c>
      <c r="B344" t="s">
        <v>88</v>
      </c>
      <c r="C344" t="str">
        <f>IFERROR(VLOOKUP(B344,Branches!A:B, 2, FALSE), B344&amp;"(NOT FOUND)")</f>
        <v>Lekki Branch</v>
      </c>
      <c r="D344" s="1">
        <v>45348</v>
      </c>
      <c r="E344" t="s">
        <v>108</v>
      </c>
      <c r="F344" t="str">
        <f>IFERROR(VLOOKUP(E344, Staff!A:B, 2, FALSE), E344&amp;" (NOT FOUND)")</f>
        <v>Ronke Bakare</v>
      </c>
      <c r="G344" t="s">
        <v>16</v>
      </c>
      <c r="H344" t="s">
        <v>42</v>
      </c>
      <c r="I344">
        <v>4</v>
      </c>
      <c r="J344">
        <v>41736.78</v>
      </c>
      <c r="K344">
        <v>10</v>
      </c>
      <c r="L344" t="s">
        <v>20</v>
      </c>
      <c r="M344" t="s">
        <v>84</v>
      </c>
      <c r="N344">
        <f t="shared" si="5"/>
        <v>150252.408</v>
      </c>
      <c r="O344" t="s">
        <v>896</v>
      </c>
    </row>
    <row r="345" spans="1:15" x14ac:dyDescent="0.35">
      <c r="A345">
        <v>5385</v>
      </c>
      <c r="B345" t="s">
        <v>74</v>
      </c>
      <c r="C345" t="str">
        <f>IFERROR(VLOOKUP(B345,Branches!A:B, 2, FALSE), B345&amp;"(NOT FOUND)")</f>
        <v>Bodija Branch</v>
      </c>
      <c r="D345" s="1">
        <v>45527</v>
      </c>
      <c r="E345" t="s">
        <v>108</v>
      </c>
      <c r="F345" t="str">
        <f>IFERROR(VLOOKUP(E345, Staff!A:B, 2, FALSE), E345&amp;" (NOT FOUND)")</f>
        <v>Ronke Bakare</v>
      </c>
      <c r="G345" t="s">
        <v>16</v>
      </c>
      <c r="H345" t="s">
        <v>170</v>
      </c>
      <c r="J345">
        <v>3886.56</v>
      </c>
      <c r="K345" t="s">
        <v>894</v>
      </c>
      <c r="L345" t="s">
        <v>47</v>
      </c>
      <c r="M345" t="s">
        <v>84</v>
      </c>
      <c r="N345" t="str">
        <f t="shared" si="5"/>
        <v/>
      </c>
      <c r="O345" t="s">
        <v>895</v>
      </c>
    </row>
    <row r="346" spans="1:15" x14ac:dyDescent="0.35">
      <c r="A346">
        <v>5401</v>
      </c>
      <c r="B346" t="s">
        <v>102</v>
      </c>
      <c r="C346" t="str">
        <f>IFERROR(VLOOKUP(B346,Branches!A:B, 2, FALSE), B346&amp;"(NOT FOUND)")</f>
        <v>GRA Branch</v>
      </c>
      <c r="D346" s="1">
        <v>45521</v>
      </c>
      <c r="E346" t="s">
        <v>51</v>
      </c>
      <c r="F346" t="str">
        <f>IFERROR(VLOOKUP(E346, Staff!A:B, 2, FALSE), E346&amp;" (NOT FOUND)")</f>
        <v>Halima Yusuf</v>
      </c>
      <c r="G346" t="s">
        <v>26</v>
      </c>
      <c r="H346" t="s">
        <v>112</v>
      </c>
      <c r="I346">
        <v>3</v>
      </c>
      <c r="J346">
        <v>44014.85</v>
      </c>
      <c r="K346">
        <v>0</v>
      </c>
      <c r="L346" t="s">
        <v>60</v>
      </c>
      <c r="M346" t="s">
        <v>84</v>
      </c>
      <c r="N346">
        <f t="shared" si="5"/>
        <v>132044.54999999999</v>
      </c>
      <c r="O346" t="s">
        <v>896</v>
      </c>
    </row>
    <row r="347" spans="1:15" x14ac:dyDescent="0.35">
      <c r="A347">
        <v>5488</v>
      </c>
      <c r="B347" t="s">
        <v>74</v>
      </c>
      <c r="C347" t="str">
        <f>IFERROR(VLOOKUP(B347,Branches!A:B, 2, FALSE), B347&amp;"(NOT FOUND)")</f>
        <v>Bodija Branch</v>
      </c>
      <c r="D347" s="1">
        <v>45422</v>
      </c>
      <c r="E347" t="s">
        <v>86</v>
      </c>
      <c r="F347" t="str">
        <f>IFERROR(VLOOKUP(E347, Staff!A:B, 2, FALSE), E347&amp;" (NOT FOUND)")</f>
        <v>Ekene Obi</v>
      </c>
      <c r="G347" t="s">
        <v>35</v>
      </c>
      <c r="H347" t="s">
        <v>99</v>
      </c>
      <c r="I347">
        <v>4</v>
      </c>
      <c r="J347">
        <v>33550.879999999997</v>
      </c>
      <c r="K347">
        <v>15</v>
      </c>
      <c r="L347" t="s">
        <v>20</v>
      </c>
      <c r="M347" t="s">
        <v>84</v>
      </c>
      <c r="N347">
        <f t="shared" si="5"/>
        <v>114072.992</v>
      </c>
      <c r="O347" t="s">
        <v>896</v>
      </c>
    </row>
    <row r="348" spans="1:15" x14ac:dyDescent="0.35">
      <c r="A348">
        <v>5049</v>
      </c>
      <c r="B348" t="s">
        <v>88</v>
      </c>
      <c r="C348" t="str">
        <f>IFERROR(VLOOKUP(B348,Branches!A:B, 2, FALSE), B348&amp;"(NOT FOUND)")</f>
        <v>Lekki Branch</v>
      </c>
      <c r="D348" s="1">
        <v>45452</v>
      </c>
      <c r="E348" t="s">
        <v>57</v>
      </c>
      <c r="F348" t="str">
        <f>IFERROR(VLOOKUP(E348, Staff!A:B, 2, FALSE), E348&amp;" (NOT FOUND)")</f>
        <v>Kelechi Umeh</v>
      </c>
      <c r="G348" t="s">
        <v>16</v>
      </c>
      <c r="H348" t="s">
        <v>109</v>
      </c>
      <c r="J348">
        <v>27027.66</v>
      </c>
      <c r="K348">
        <v>5</v>
      </c>
      <c r="L348" t="s">
        <v>60</v>
      </c>
      <c r="M348" t="s">
        <v>84</v>
      </c>
      <c r="N348" t="str">
        <f t="shared" si="5"/>
        <v/>
      </c>
      <c r="O348" t="s">
        <v>895</v>
      </c>
    </row>
    <row r="349" spans="1:15" x14ac:dyDescent="0.35">
      <c r="A349">
        <v>5044</v>
      </c>
      <c r="B349" t="s">
        <v>129</v>
      </c>
      <c r="C349" t="str">
        <f>IFERROR(VLOOKUP(B349,Branches!A:B, 2, FALSE), B349&amp;"(NOT FOUND)")</f>
        <v>Sabon Gari Branch</v>
      </c>
      <c r="D349" s="1">
        <v>45526</v>
      </c>
      <c r="E349" t="s">
        <v>25</v>
      </c>
      <c r="F349" t="str">
        <f>IFERROR(VLOOKUP(E349, Staff!A:B, 2, FALSE), E349&amp;" (NOT FOUND)")</f>
        <v>Tobi Adewale</v>
      </c>
      <c r="G349" t="s">
        <v>26</v>
      </c>
      <c r="H349" t="s">
        <v>112</v>
      </c>
      <c r="I349">
        <v>4</v>
      </c>
      <c r="J349">
        <v>11556.71</v>
      </c>
      <c r="K349">
        <v>5</v>
      </c>
      <c r="L349" t="s">
        <v>20</v>
      </c>
      <c r="M349" t="s">
        <v>84</v>
      </c>
      <c r="N349">
        <f t="shared" si="5"/>
        <v>43915.498</v>
      </c>
      <c r="O349" t="s">
        <v>896</v>
      </c>
    </row>
    <row r="350" spans="1:15" x14ac:dyDescent="0.35">
      <c r="A350">
        <v>5055</v>
      </c>
      <c r="B350" t="s">
        <v>74</v>
      </c>
      <c r="C350" t="str">
        <f>IFERROR(VLOOKUP(B350,Branches!A:B, 2, FALSE), B350&amp;"(NOT FOUND)")</f>
        <v>Bodija Branch</v>
      </c>
      <c r="D350" s="1">
        <v>45427</v>
      </c>
      <c r="E350" t="s">
        <v>57</v>
      </c>
      <c r="F350" t="str">
        <f>IFERROR(VLOOKUP(E350, Staff!A:B, 2, FALSE), E350&amp;" (NOT FOUND)")</f>
        <v>Kelechi Umeh</v>
      </c>
      <c r="G350" t="s">
        <v>35</v>
      </c>
      <c r="H350" t="s">
        <v>58</v>
      </c>
      <c r="J350">
        <v>2006.94</v>
      </c>
      <c r="K350">
        <v>5</v>
      </c>
      <c r="L350" t="s">
        <v>60</v>
      </c>
      <c r="M350" t="s">
        <v>38</v>
      </c>
      <c r="N350" t="str">
        <f t="shared" si="5"/>
        <v/>
      </c>
      <c r="O350" t="s">
        <v>896</v>
      </c>
    </row>
    <row r="351" spans="1:15" x14ac:dyDescent="0.35">
      <c r="A351">
        <v>5157</v>
      </c>
      <c r="B351" t="s">
        <v>32</v>
      </c>
      <c r="C351" t="str">
        <f>IFERROR(VLOOKUP(B351,Branches!A:B, 2, FALSE), B351&amp;"(NOT FOUND)")</f>
        <v>Wuse Branch</v>
      </c>
      <c r="D351" s="1">
        <v>45348</v>
      </c>
      <c r="E351" t="s">
        <v>34</v>
      </c>
      <c r="F351" t="str">
        <f>IFERROR(VLOOKUP(E351, Staff!A:B, 2, FALSE), E351&amp;" (NOT FOUND)")</f>
        <v>Funke Ajayi</v>
      </c>
      <c r="G351" t="s">
        <v>26</v>
      </c>
      <c r="H351" t="s">
        <v>112</v>
      </c>
      <c r="I351">
        <v>1</v>
      </c>
      <c r="J351">
        <v>5478.31</v>
      </c>
      <c r="K351">
        <v>10</v>
      </c>
      <c r="L351" t="s">
        <v>20</v>
      </c>
      <c r="M351" t="s">
        <v>38</v>
      </c>
      <c r="N351">
        <f t="shared" si="5"/>
        <v>4930.4790000000003</v>
      </c>
      <c r="O351" t="s">
        <v>895</v>
      </c>
    </row>
    <row r="352" spans="1:15" x14ac:dyDescent="0.35">
      <c r="A352">
        <v>5326</v>
      </c>
      <c r="B352" t="s">
        <v>74</v>
      </c>
      <c r="C352" t="str">
        <f>IFERROR(VLOOKUP(B352,Branches!A:B, 2, FALSE), B352&amp;"(NOT FOUND)")</f>
        <v>Bodija Branch</v>
      </c>
      <c r="D352" s="1">
        <v>45488</v>
      </c>
      <c r="E352" t="s">
        <v>25</v>
      </c>
      <c r="F352" t="str">
        <f>IFERROR(VLOOKUP(E352, Staff!A:B, 2, FALSE), E352&amp;" (NOT FOUND)")</f>
        <v>Tobi Adewale</v>
      </c>
      <c r="G352" t="s">
        <v>26</v>
      </c>
      <c r="H352" t="s">
        <v>112</v>
      </c>
      <c r="I352">
        <v>4</v>
      </c>
      <c r="J352" t="s">
        <v>894</v>
      </c>
      <c r="K352" t="s">
        <v>894</v>
      </c>
      <c r="L352" t="s">
        <v>47</v>
      </c>
      <c r="M352" t="s">
        <v>84</v>
      </c>
      <c r="N352" t="str">
        <f t="shared" si="5"/>
        <v/>
      </c>
      <c r="O352" t="s">
        <v>896</v>
      </c>
    </row>
    <row r="353" spans="1:15" x14ac:dyDescent="0.35">
      <c r="A353">
        <v>5137</v>
      </c>
      <c r="B353" t="s">
        <v>74</v>
      </c>
      <c r="C353" t="str">
        <f>IFERROR(VLOOKUP(B353,Branches!A:B, 2, FALSE), B353&amp;"(NOT FOUND)")</f>
        <v>Bodija Branch</v>
      </c>
      <c r="D353" s="1">
        <v>45363</v>
      </c>
      <c r="E353" t="s">
        <v>76</v>
      </c>
      <c r="F353" t="str">
        <f>IFERROR(VLOOKUP(E353, Staff!A:B, 2, FALSE), E353&amp;" (NOT FOUND)")</f>
        <v>Chika Nwankwo</v>
      </c>
      <c r="G353" t="s">
        <v>26</v>
      </c>
      <c r="H353" t="s">
        <v>27</v>
      </c>
      <c r="I353">
        <v>1</v>
      </c>
      <c r="J353">
        <v>23681.35</v>
      </c>
      <c r="K353">
        <v>15</v>
      </c>
      <c r="L353" t="s">
        <v>47</v>
      </c>
      <c r="M353" t="s">
        <v>84</v>
      </c>
      <c r="N353">
        <f t="shared" si="5"/>
        <v>20129.147499999999</v>
      </c>
      <c r="O353" t="s">
        <v>895</v>
      </c>
    </row>
    <row r="354" spans="1:15" x14ac:dyDescent="0.35">
      <c r="A354">
        <v>5031</v>
      </c>
      <c r="B354" t="s">
        <v>74</v>
      </c>
      <c r="C354" t="str">
        <f>IFERROR(VLOOKUP(B354,Branches!A:B, 2, FALSE), B354&amp;"(NOT FOUND)")</f>
        <v>Bodija Branch</v>
      </c>
      <c r="D354" s="1">
        <v>45550</v>
      </c>
      <c r="E354" t="s">
        <v>57</v>
      </c>
      <c r="F354" t="str">
        <f>IFERROR(VLOOKUP(E354, Staff!A:B, 2, FALSE), E354&amp;" (NOT FOUND)")</f>
        <v>Kelechi Umeh</v>
      </c>
      <c r="G354" t="s">
        <v>64</v>
      </c>
      <c r="H354" t="s">
        <v>77</v>
      </c>
      <c r="J354" t="s">
        <v>894</v>
      </c>
      <c r="K354" t="s">
        <v>894</v>
      </c>
      <c r="L354" t="s">
        <v>20</v>
      </c>
      <c r="M354" t="s">
        <v>38</v>
      </c>
      <c r="N354" t="str">
        <f t="shared" si="5"/>
        <v/>
      </c>
      <c r="O354" t="s">
        <v>896</v>
      </c>
    </row>
    <row r="355" spans="1:15" x14ac:dyDescent="0.35">
      <c r="A355">
        <v>5245</v>
      </c>
      <c r="B355" t="s">
        <v>102</v>
      </c>
      <c r="C355" t="str">
        <f>IFERROR(VLOOKUP(B355,Branches!A:B, 2, FALSE), B355&amp;"(NOT FOUND)")</f>
        <v>GRA Branch</v>
      </c>
      <c r="D355" s="1">
        <v>45348</v>
      </c>
      <c r="E355" t="s">
        <v>348</v>
      </c>
      <c r="F355" t="str">
        <f>IFERROR(VLOOKUP(E355, Staff!A:B, 2, FALSE), E355&amp;" (NOT FOUND)")</f>
        <v>SXXX (NOT FOUND)</v>
      </c>
      <c r="G355" t="s">
        <v>35</v>
      </c>
      <c r="H355" t="s">
        <v>99</v>
      </c>
      <c r="I355">
        <v>1</v>
      </c>
      <c r="J355">
        <v>43988.6</v>
      </c>
      <c r="K355">
        <v>10</v>
      </c>
      <c r="L355" t="s">
        <v>20</v>
      </c>
      <c r="M355" t="s">
        <v>84</v>
      </c>
      <c r="N355">
        <f t="shared" si="5"/>
        <v>39589.74</v>
      </c>
      <c r="O355" t="s">
        <v>895</v>
      </c>
    </row>
    <row r="356" spans="1:15" x14ac:dyDescent="0.35">
      <c r="A356">
        <v>5139</v>
      </c>
      <c r="B356" t="s">
        <v>74</v>
      </c>
      <c r="C356" t="str">
        <f>IFERROR(VLOOKUP(B356,Branches!A:B, 2, FALSE), B356&amp;"(NOT FOUND)")</f>
        <v>Bodija Branch</v>
      </c>
      <c r="D356" s="1">
        <v>45547</v>
      </c>
      <c r="E356" t="s">
        <v>108</v>
      </c>
      <c r="F356" t="str">
        <f>IFERROR(VLOOKUP(E356, Staff!A:B, 2, FALSE), E356&amp;" (NOT FOUND)")</f>
        <v>Ronke Bakare</v>
      </c>
      <c r="G356" t="s">
        <v>26</v>
      </c>
      <c r="H356" t="s">
        <v>46</v>
      </c>
      <c r="I356">
        <v>3</v>
      </c>
      <c r="J356" t="s">
        <v>894</v>
      </c>
      <c r="K356" t="s">
        <v>894</v>
      </c>
      <c r="L356" t="s">
        <v>47</v>
      </c>
      <c r="M356" t="s">
        <v>38</v>
      </c>
      <c r="N356" t="str">
        <f t="shared" si="5"/>
        <v/>
      </c>
      <c r="O356" t="s">
        <v>894</v>
      </c>
    </row>
    <row r="357" spans="1:15" x14ac:dyDescent="0.35">
      <c r="A357">
        <v>5035</v>
      </c>
      <c r="B357" t="s">
        <v>129</v>
      </c>
      <c r="C357" t="str">
        <f>IFERROR(VLOOKUP(B357,Branches!A:B, 2, FALSE), B357&amp;"(NOT FOUND)")</f>
        <v>Sabon Gari Branch</v>
      </c>
      <c r="D357" s="1">
        <v>45526</v>
      </c>
      <c r="E357" t="s">
        <v>34</v>
      </c>
      <c r="F357" t="str">
        <f>IFERROR(VLOOKUP(E357, Staff!A:B, 2, FALSE), E357&amp;" (NOT FOUND)")</f>
        <v>Funke Ajayi</v>
      </c>
      <c r="G357" t="s">
        <v>26</v>
      </c>
      <c r="H357" t="s">
        <v>27</v>
      </c>
      <c r="I357">
        <v>1</v>
      </c>
      <c r="J357">
        <v>44701.87</v>
      </c>
      <c r="K357">
        <v>10</v>
      </c>
      <c r="L357" t="s">
        <v>60</v>
      </c>
      <c r="M357" t="s">
        <v>38</v>
      </c>
      <c r="N357">
        <f t="shared" si="5"/>
        <v>40231.683000000005</v>
      </c>
      <c r="O357" t="s">
        <v>895</v>
      </c>
    </row>
    <row r="358" spans="1:15" x14ac:dyDescent="0.35">
      <c r="A358">
        <v>5195</v>
      </c>
      <c r="B358" t="s">
        <v>88</v>
      </c>
      <c r="C358" t="str">
        <f>IFERROR(VLOOKUP(B358,Branches!A:B, 2, FALSE), B358&amp;"(NOT FOUND)")</f>
        <v>Lekki Branch</v>
      </c>
      <c r="D358" s="1">
        <v>45367</v>
      </c>
      <c r="E358" t="s">
        <v>15</v>
      </c>
      <c r="F358" t="str">
        <f>IFERROR(VLOOKUP(E358, Staff!A:B, 2, FALSE), E358&amp;" (NOT FOUND)")</f>
        <v>Ibrahim Sani</v>
      </c>
      <c r="G358" t="s">
        <v>16</v>
      </c>
      <c r="H358" t="s">
        <v>170</v>
      </c>
      <c r="I358">
        <v>4</v>
      </c>
      <c r="J358">
        <v>43691.16</v>
      </c>
      <c r="K358">
        <v>5</v>
      </c>
      <c r="L358" t="s">
        <v>47</v>
      </c>
      <c r="M358" t="s">
        <v>84</v>
      </c>
      <c r="N358">
        <f t="shared" si="5"/>
        <v>166026.40800000002</v>
      </c>
      <c r="O358" t="s">
        <v>896</v>
      </c>
    </row>
    <row r="359" spans="1:15" x14ac:dyDescent="0.35">
      <c r="A359">
        <v>5397</v>
      </c>
      <c r="B359" t="s">
        <v>88</v>
      </c>
      <c r="C359" t="str">
        <f>IFERROR(VLOOKUP(B359,Branches!A:B, 2, FALSE), B359&amp;"(NOT FOUND)")</f>
        <v>Lekki Branch</v>
      </c>
      <c r="D359" s="1">
        <v>45322</v>
      </c>
      <c r="E359" t="s">
        <v>51</v>
      </c>
      <c r="F359" t="str">
        <f>IFERROR(VLOOKUP(E359, Staff!A:B, 2, FALSE), E359&amp;" (NOT FOUND)")</f>
        <v>Halima Yusuf</v>
      </c>
      <c r="G359" t="s">
        <v>26</v>
      </c>
      <c r="H359" t="s">
        <v>46</v>
      </c>
      <c r="I359">
        <v>5</v>
      </c>
      <c r="J359">
        <v>2508.2199999999998</v>
      </c>
      <c r="K359">
        <v>5</v>
      </c>
      <c r="L359" t="s">
        <v>47</v>
      </c>
      <c r="M359" t="s">
        <v>84</v>
      </c>
      <c r="N359">
        <f t="shared" si="5"/>
        <v>11914.044999999998</v>
      </c>
      <c r="O359" t="s">
        <v>895</v>
      </c>
    </row>
    <row r="360" spans="1:15" x14ac:dyDescent="0.35">
      <c r="A360">
        <v>5187</v>
      </c>
      <c r="B360" t="s">
        <v>32</v>
      </c>
      <c r="C360" t="str">
        <f>IFERROR(VLOOKUP(B360,Branches!A:B, 2, FALSE), B360&amp;"(NOT FOUND)")</f>
        <v>Wuse Branch</v>
      </c>
      <c r="D360" s="1">
        <v>45359</v>
      </c>
      <c r="E360" t="s">
        <v>108</v>
      </c>
      <c r="F360" t="str">
        <f>IFERROR(VLOOKUP(E360, Staff!A:B, 2, FALSE), E360&amp;" (NOT FOUND)")</f>
        <v>Ronke Bakare</v>
      </c>
      <c r="G360" t="s">
        <v>16</v>
      </c>
      <c r="H360" t="s">
        <v>42</v>
      </c>
      <c r="I360">
        <v>5</v>
      </c>
      <c r="J360">
        <v>43993.63</v>
      </c>
      <c r="K360">
        <v>0</v>
      </c>
      <c r="L360" t="s">
        <v>20</v>
      </c>
      <c r="M360" t="s">
        <v>84</v>
      </c>
      <c r="N360">
        <f t="shared" si="5"/>
        <v>219968.15</v>
      </c>
      <c r="O360" t="s">
        <v>895</v>
      </c>
    </row>
    <row r="361" spans="1:15" x14ac:dyDescent="0.35">
      <c r="A361">
        <v>5248</v>
      </c>
      <c r="B361" t="s">
        <v>74</v>
      </c>
      <c r="C361" t="str">
        <f>IFERROR(VLOOKUP(B361,Branches!A:B, 2, FALSE), B361&amp;"(NOT FOUND)")</f>
        <v>Bodija Branch</v>
      </c>
      <c r="D361" s="1">
        <v>45393</v>
      </c>
      <c r="E361" t="s">
        <v>108</v>
      </c>
      <c r="F361" t="str">
        <f>IFERROR(VLOOKUP(E361, Staff!A:B, 2, FALSE), E361&amp;" (NOT FOUND)")</f>
        <v>Ronke Bakare</v>
      </c>
      <c r="G361" t="s">
        <v>35</v>
      </c>
      <c r="H361" t="s">
        <v>36</v>
      </c>
      <c r="I361">
        <v>1</v>
      </c>
      <c r="J361">
        <v>18428.04</v>
      </c>
      <c r="K361">
        <v>10</v>
      </c>
      <c r="L361" t="s">
        <v>20</v>
      </c>
      <c r="M361" t="s">
        <v>38</v>
      </c>
      <c r="N361">
        <f t="shared" si="5"/>
        <v>16585.236000000001</v>
      </c>
      <c r="O361" t="s">
        <v>895</v>
      </c>
    </row>
    <row r="362" spans="1:15" x14ac:dyDescent="0.35">
      <c r="A362">
        <v>5152</v>
      </c>
      <c r="B362" t="s">
        <v>74</v>
      </c>
      <c r="C362" t="str">
        <f>IFERROR(VLOOKUP(B362,Branches!A:B, 2, FALSE), B362&amp;"(NOT FOUND)")</f>
        <v>Bodija Branch</v>
      </c>
      <c r="D362" s="1">
        <v>45418</v>
      </c>
      <c r="E362" t="s">
        <v>108</v>
      </c>
      <c r="F362" t="str">
        <f>IFERROR(VLOOKUP(E362, Staff!A:B, 2, FALSE), E362&amp;" (NOT FOUND)")</f>
        <v>Ronke Bakare</v>
      </c>
      <c r="G362" t="s">
        <v>35</v>
      </c>
      <c r="H362" t="s">
        <v>58</v>
      </c>
      <c r="J362">
        <v>6327.05</v>
      </c>
      <c r="K362" t="s">
        <v>894</v>
      </c>
      <c r="L362" t="s">
        <v>60</v>
      </c>
      <c r="M362" t="s">
        <v>84</v>
      </c>
      <c r="N362" t="str">
        <f t="shared" si="5"/>
        <v/>
      </c>
      <c r="O362" t="s">
        <v>895</v>
      </c>
    </row>
    <row r="363" spans="1:15" x14ac:dyDescent="0.35">
      <c r="A363">
        <v>5081</v>
      </c>
      <c r="B363" t="s">
        <v>88</v>
      </c>
      <c r="C363" t="str">
        <f>IFERROR(VLOOKUP(B363,Branches!A:B, 2, FALSE), B363&amp;"(NOT FOUND)")</f>
        <v>Lekki Branch</v>
      </c>
      <c r="D363" s="1">
        <v>45436</v>
      </c>
      <c r="E363" t="s">
        <v>34</v>
      </c>
      <c r="F363" t="str">
        <f>IFERROR(VLOOKUP(E363, Staff!A:B, 2, FALSE), E363&amp;" (NOT FOUND)")</f>
        <v>Funke Ajayi</v>
      </c>
      <c r="G363" t="s">
        <v>26</v>
      </c>
      <c r="H363" t="s">
        <v>167</v>
      </c>
      <c r="J363" t="s">
        <v>894</v>
      </c>
      <c r="K363">
        <v>0</v>
      </c>
      <c r="L363" t="s">
        <v>20</v>
      </c>
      <c r="M363" t="s">
        <v>38</v>
      </c>
      <c r="N363" t="str">
        <f t="shared" si="5"/>
        <v/>
      </c>
      <c r="O363" t="s">
        <v>895</v>
      </c>
    </row>
    <row r="364" spans="1:15" x14ac:dyDescent="0.35">
      <c r="A364">
        <v>5460</v>
      </c>
      <c r="B364" t="s">
        <v>102</v>
      </c>
      <c r="C364" t="str">
        <f>IFERROR(VLOOKUP(B364,Branches!A:B, 2, FALSE), B364&amp;"(NOT FOUND)")</f>
        <v>GRA Branch</v>
      </c>
      <c r="D364" s="1">
        <v>45526</v>
      </c>
      <c r="E364" t="s">
        <v>86</v>
      </c>
      <c r="F364" t="str">
        <f>IFERROR(VLOOKUP(E364, Staff!A:B, 2, FALSE), E364&amp;" (NOT FOUND)")</f>
        <v>Ekene Obi</v>
      </c>
      <c r="G364" t="s">
        <v>26</v>
      </c>
      <c r="H364" t="s">
        <v>167</v>
      </c>
      <c r="I364">
        <v>3</v>
      </c>
      <c r="J364">
        <v>3681.88</v>
      </c>
      <c r="K364">
        <v>10</v>
      </c>
      <c r="L364" t="s">
        <v>20</v>
      </c>
      <c r="M364" t="s">
        <v>38</v>
      </c>
      <c r="N364">
        <f t="shared" si="5"/>
        <v>9941.0759999999991</v>
      </c>
      <c r="O364" t="s">
        <v>895</v>
      </c>
    </row>
    <row r="365" spans="1:15" x14ac:dyDescent="0.35">
      <c r="A365">
        <v>5117</v>
      </c>
      <c r="B365" t="s">
        <v>88</v>
      </c>
      <c r="C365" t="str">
        <f>IFERROR(VLOOKUP(B365,Branches!A:B, 2, FALSE), B365&amp;"(NOT FOUND)")</f>
        <v>Lekki Branch</v>
      </c>
      <c r="D365" s="1">
        <v>45423</v>
      </c>
      <c r="E365" t="s">
        <v>86</v>
      </c>
      <c r="F365" t="str">
        <f>IFERROR(VLOOKUP(E365, Staff!A:B, 2, FALSE), E365&amp;" (NOT FOUND)")</f>
        <v>Ekene Obi</v>
      </c>
      <c r="G365" t="s">
        <v>16</v>
      </c>
      <c r="H365" t="s">
        <v>82</v>
      </c>
      <c r="I365">
        <v>4</v>
      </c>
      <c r="J365">
        <v>38311.4</v>
      </c>
      <c r="K365" t="s">
        <v>894</v>
      </c>
      <c r="L365" t="s">
        <v>47</v>
      </c>
      <c r="M365" t="s">
        <v>38</v>
      </c>
      <c r="N365">
        <f t="shared" si="5"/>
        <v>153245.6</v>
      </c>
      <c r="O365" t="s">
        <v>896</v>
      </c>
    </row>
    <row r="366" spans="1:15" x14ac:dyDescent="0.35">
      <c r="A366">
        <v>5378</v>
      </c>
      <c r="B366" t="s">
        <v>129</v>
      </c>
      <c r="C366" t="str">
        <f>IFERROR(VLOOKUP(B366,Branches!A:B, 2, FALSE), B366&amp;"(NOT FOUND)")</f>
        <v>Sabon Gari Branch</v>
      </c>
      <c r="D366" s="1">
        <v>45301</v>
      </c>
      <c r="E366" t="s">
        <v>108</v>
      </c>
      <c r="F366" t="str">
        <f>IFERROR(VLOOKUP(E366, Staff!A:B, 2, FALSE), E366&amp;" (NOT FOUND)")</f>
        <v>Ronke Bakare</v>
      </c>
      <c r="G366" t="s">
        <v>64</v>
      </c>
      <c r="H366" t="s">
        <v>116</v>
      </c>
      <c r="I366">
        <v>1</v>
      </c>
      <c r="J366" t="s">
        <v>894</v>
      </c>
      <c r="K366">
        <v>0</v>
      </c>
      <c r="L366" t="s">
        <v>20</v>
      </c>
      <c r="M366" t="s">
        <v>84</v>
      </c>
      <c r="N366" t="str">
        <f t="shared" si="5"/>
        <v/>
      </c>
      <c r="O366" t="s">
        <v>894</v>
      </c>
    </row>
    <row r="367" spans="1:15" x14ac:dyDescent="0.35">
      <c r="A367">
        <v>5366</v>
      </c>
      <c r="B367" t="s">
        <v>129</v>
      </c>
      <c r="C367" t="str">
        <f>IFERROR(VLOOKUP(B367,Branches!A:B, 2, FALSE), B367&amp;"(NOT FOUND)")</f>
        <v>Sabon Gari Branch</v>
      </c>
      <c r="D367" s="1">
        <v>45340</v>
      </c>
      <c r="E367" t="s">
        <v>86</v>
      </c>
      <c r="F367" t="str">
        <f>IFERROR(VLOOKUP(E367, Staff!A:B, 2, FALSE), E367&amp;" (NOT FOUND)")</f>
        <v>Ekene Obi</v>
      </c>
      <c r="G367" t="s">
        <v>64</v>
      </c>
      <c r="H367" t="s">
        <v>77</v>
      </c>
      <c r="I367">
        <v>3</v>
      </c>
      <c r="J367">
        <v>11799.63</v>
      </c>
      <c r="K367" t="s">
        <v>894</v>
      </c>
      <c r="L367" t="s">
        <v>20</v>
      </c>
      <c r="M367" t="s">
        <v>38</v>
      </c>
      <c r="N367">
        <f t="shared" si="5"/>
        <v>35398.89</v>
      </c>
      <c r="O367" t="s">
        <v>895</v>
      </c>
    </row>
    <row r="368" spans="1:15" x14ac:dyDescent="0.35">
      <c r="A368">
        <v>5158</v>
      </c>
      <c r="B368" t="s">
        <v>32</v>
      </c>
      <c r="C368" t="str">
        <f>IFERROR(VLOOKUP(B368,Branches!A:B, 2, FALSE), B368&amp;"(NOT FOUND)")</f>
        <v>Wuse Branch</v>
      </c>
      <c r="D368" s="1">
        <v>45549</v>
      </c>
      <c r="E368" t="s">
        <v>25</v>
      </c>
      <c r="F368" t="str">
        <f>IFERROR(VLOOKUP(E368, Staff!A:B, 2, FALSE), E368&amp;" (NOT FOUND)")</f>
        <v>Tobi Adewale</v>
      </c>
      <c r="G368" t="s">
        <v>26</v>
      </c>
      <c r="H368" t="s">
        <v>27</v>
      </c>
      <c r="I368">
        <v>5</v>
      </c>
      <c r="J368">
        <v>37379.03</v>
      </c>
      <c r="K368">
        <v>0</v>
      </c>
      <c r="L368" t="s">
        <v>60</v>
      </c>
      <c r="M368" t="s">
        <v>84</v>
      </c>
      <c r="N368">
        <f t="shared" si="5"/>
        <v>186895.15</v>
      </c>
      <c r="O368" t="s">
        <v>895</v>
      </c>
    </row>
    <row r="369" spans="1:15" x14ac:dyDescent="0.35">
      <c r="A369">
        <v>5484</v>
      </c>
      <c r="B369" t="s">
        <v>129</v>
      </c>
      <c r="C369" t="str">
        <f>IFERROR(VLOOKUP(B369,Branches!A:B, 2, FALSE), B369&amp;"(NOT FOUND)")</f>
        <v>Sabon Gari Branch</v>
      </c>
      <c r="D369" s="1">
        <v>45449</v>
      </c>
      <c r="E369" t="s">
        <v>57</v>
      </c>
      <c r="F369" t="str">
        <f>IFERROR(VLOOKUP(E369, Staff!A:B, 2, FALSE), E369&amp;" (NOT FOUND)")</f>
        <v>Kelechi Umeh</v>
      </c>
      <c r="G369" t="s">
        <v>64</v>
      </c>
      <c r="H369" t="s">
        <v>77</v>
      </c>
      <c r="I369">
        <v>1</v>
      </c>
      <c r="J369">
        <v>20394.02</v>
      </c>
      <c r="K369" t="s">
        <v>894</v>
      </c>
      <c r="L369" t="s">
        <v>60</v>
      </c>
      <c r="M369" t="s">
        <v>38</v>
      </c>
      <c r="N369">
        <f t="shared" si="5"/>
        <v>20394.02</v>
      </c>
      <c r="O369" t="s">
        <v>896</v>
      </c>
    </row>
    <row r="370" spans="1:15" x14ac:dyDescent="0.35">
      <c r="A370">
        <v>5142</v>
      </c>
      <c r="B370" t="s">
        <v>88</v>
      </c>
      <c r="C370" t="str">
        <f>IFERROR(VLOOKUP(B370,Branches!A:B, 2, FALSE), B370&amp;"(NOT FOUND)")</f>
        <v>Lekki Branch</v>
      </c>
      <c r="D370" s="1">
        <v>45467</v>
      </c>
      <c r="E370" t="s">
        <v>57</v>
      </c>
      <c r="F370" t="str">
        <f>IFERROR(VLOOKUP(E370, Staff!A:B, 2, FALSE), E370&amp;" (NOT FOUND)")</f>
        <v>Kelechi Umeh</v>
      </c>
      <c r="G370" t="s">
        <v>64</v>
      </c>
      <c r="H370" t="s">
        <v>116</v>
      </c>
      <c r="I370">
        <v>5</v>
      </c>
      <c r="J370">
        <v>41814.35</v>
      </c>
      <c r="K370">
        <v>15</v>
      </c>
      <c r="L370" t="s">
        <v>60</v>
      </c>
      <c r="M370" t="s">
        <v>84</v>
      </c>
      <c r="N370">
        <f t="shared" si="5"/>
        <v>177710.98749999999</v>
      </c>
      <c r="O370" t="s">
        <v>895</v>
      </c>
    </row>
    <row r="371" spans="1:15" x14ac:dyDescent="0.35">
      <c r="A371">
        <v>5289</v>
      </c>
      <c r="B371" t="s">
        <v>88</v>
      </c>
      <c r="C371" t="str">
        <f>IFERROR(VLOOKUP(B371,Branches!A:B, 2, FALSE), B371&amp;"(NOT FOUND)")</f>
        <v>Lekki Branch</v>
      </c>
      <c r="D371" s="1">
        <v>45304</v>
      </c>
      <c r="E371" t="s">
        <v>86</v>
      </c>
      <c r="F371" t="str">
        <f>IFERROR(VLOOKUP(E371, Staff!A:B, 2, FALSE), E371&amp;" (NOT FOUND)")</f>
        <v>Ekene Obi</v>
      </c>
      <c r="G371" t="s">
        <v>16</v>
      </c>
      <c r="H371" t="s">
        <v>17</v>
      </c>
      <c r="I371">
        <v>3</v>
      </c>
      <c r="J371">
        <v>22807.98</v>
      </c>
      <c r="K371" t="s">
        <v>894</v>
      </c>
      <c r="L371" t="s">
        <v>20</v>
      </c>
      <c r="M371" t="s">
        <v>38</v>
      </c>
      <c r="N371">
        <f t="shared" si="5"/>
        <v>68423.94</v>
      </c>
      <c r="O371" t="s">
        <v>896</v>
      </c>
    </row>
    <row r="372" spans="1:15" x14ac:dyDescent="0.35">
      <c r="A372">
        <v>5350</v>
      </c>
      <c r="B372" t="s">
        <v>88</v>
      </c>
      <c r="C372" t="str">
        <f>IFERROR(VLOOKUP(B372,Branches!A:B, 2, FALSE), B372&amp;"(NOT FOUND)")</f>
        <v>Lekki Branch</v>
      </c>
      <c r="D372" s="1">
        <v>45415</v>
      </c>
      <c r="E372" t="s">
        <v>15</v>
      </c>
      <c r="F372" t="str">
        <f>IFERROR(VLOOKUP(E372, Staff!A:B, 2, FALSE), E372&amp;" (NOT FOUND)")</f>
        <v>Ibrahim Sani</v>
      </c>
      <c r="G372" t="s">
        <v>64</v>
      </c>
      <c r="H372" t="s">
        <v>65</v>
      </c>
      <c r="I372">
        <v>5</v>
      </c>
      <c r="J372">
        <v>32386.21</v>
      </c>
      <c r="K372">
        <v>0</v>
      </c>
      <c r="L372" t="s">
        <v>20</v>
      </c>
      <c r="M372" t="s">
        <v>38</v>
      </c>
      <c r="N372">
        <f t="shared" si="5"/>
        <v>161931.04999999999</v>
      </c>
      <c r="O372" t="s">
        <v>895</v>
      </c>
    </row>
    <row r="373" spans="1:15" x14ac:dyDescent="0.35">
      <c r="A373">
        <v>5114</v>
      </c>
      <c r="B373" t="s">
        <v>32</v>
      </c>
      <c r="C373" t="str">
        <f>IFERROR(VLOOKUP(B373,Branches!A:B, 2, FALSE), B373&amp;"(NOT FOUND)")</f>
        <v>Wuse Branch</v>
      </c>
      <c r="D373" s="1">
        <v>45529</v>
      </c>
      <c r="E373" t="s">
        <v>15</v>
      </c>
      <c r="F373" t="str">
        <f>IFERROR(VLOOKUP(E373, Staff!A:B, 2, FALSE), E373&amp;" (NOT FOUND)")</f>
        <v>Ibrahim Sani</v>
      </c>
      <c r="G373" t="s">
        <v>26</v>
      </c>
      <c r="H373" t="s">
        <v>112</v>
      </c>
      <c r="I373">
        <v>2</v>
      </c>
      <c r="J373">
        <v>2484.4499999999998</v>
      </c>
      <c r="K373" t="s">
        <v>894</v>
      </c>
      <c r="L373" t="s">
        <v>20</v>
      </c>
      <c r="M373" t="s">
        <v>38</v>
      </c>
      <c r="N373">
        <f t="shared" si="5"/>
        <v>4968.8999999999996</v>
      </c>
      <c r="O373" t="s">
        <v>895</v>
      </c>
    </row>
    <row r="374" spans="1:15" x14ac:dyDescent="0.35">
      <c r="A374">
        <v>5399</v>
      </c>
      <c r="B374" t="s">
        <v>32</v>
      </c>
      <c r="C374" t="str">
        <f>IFERROR(VLOOKUP(B374,Branches!A:B, 2, FALSE), B374&amp;"(NOT FOUND)")</f>
        <v>Wuse Branch</v>
      </c>
      <c r="D374" s="1">
        <v>45324</v>
      </c>
      <c r="E374" t="s">
        <v>34</v>
      </c>
      <c r="F374" t="str">
        <f>IFERROR(VLOOKUP(E374, Staff!A:B, 2, FALSE), E374&amp;" (NOT FOUND)")</f>
        <v>Funke Ajayi</v>
      </c>
      <c r="G374" t="s">
        <v>64</v>
      </c>
      <c r="H374" t="s">
        <v>133</v>
      </c>
      <c r="I374">
        <v>4</v>
      </c>
      <c r="J374">
        <v>2832.52</v>
      </c>
      <c r="K374">
        <v>15</v>
      </c>
      <c r="L374" t="s">
        <v>20</v>
      </c>
      <c r="M374" t="s">
        <v>84</v>
      </c>
      <c r="N374">
        <f t="shared" si="5"/>
        <v>9630.5679999999993</v>
      </c>
      <c r="O374" t="s">
        <v>895</v>
      </c>
    </row>
    <row r="375" spans="1:15" x14ac:dyDescent="0.35">
      <c r="A375">
        <v>5154</v>
      </c>
      <c r="B375" t="s">
        <v>32</v>
      </c>
      <c r="C375" t="str">
        <f>IFERROR(VLOOKUP(B375,Branches!A:B, 2, FALSE), B375&amp;"(NOT FOUND)")</f>
        <v>Wuse Branch</v>
      </c>
      <c r="D375" s="1">
        <v>45496</v>
      </c>
      <c r="E375" t="s">
        <v>25</v>
      </c>
      <c r="F375" t="str">
        <f>IFERROR(VLOOKUP(E375, Staff!A:B, 2, FALSE), E375&amp;" (NOT FOUND)")</f>
        <v>Tobi Adewale</v>
      </c>
      <c r="G375" t="s">
        <v>16</v>
      </c>
      <c r="H375" t="s">
        <v>82</v>
      </c>
      <c r="I375">
        <v>5</v>
      </c>
      <c r="J375">
        <v>34251.18</v>
      </c>
      <c r="K375">
        <v>10</v>
      </c>
      <c r="L375" t="s">
        <v>47</v>
      </c>
      <c r="M375" t="s">
        <v>38</v>
      </c>
      <c r="N375">
        <f t="shared" si="5"/>
        <v>154130.31</v>
      </c>
      <c r="O375" t="s">
        <v>896</v>
      </c>
    </row>
    <row r="376" spans="1:15" x14ac:dyDescent="0.35">
      <c r="A376">
        <v>5340</v>
      </c>
      <c r="B376" t="s">
        <v>102</v>
      </c>
      <c r="C376" t="str">
        <f>IFERROR(VLOOKUP(B376,Branches!A:B, 2, FALSE), B376&amp;"(NOT FOUND)")</f>
        <v>GRA Branch</v>
      </c>
      <c r="D376" s="1">
        <v>45326</v>
      </c>
      <c r="E376" t="s">
        <v>108</v>
      </c>
      <c r="F376" t="str">
        <f>IFERROR(VLOOKUP(E376, Staff!A:B, 2, FALSE), E376&amp;" (NOT FOUND)")</f>
        <v>Ronke Bakare</v>
      </c>
      <c r="G376" t="s">
        <v>64</v>
      </c>
      <c r="H376" t="s">
        <v>65</v>
      </c>
      <c r="I376">
        <v>4</v>
      </c>
      <c r="J376">
        <v>25541.05</v>
      </c>
      <c r="K376" t="s">
        <v>894</v>
      </c>
      <c r="L376" t="s">
        <v>60</v>
      </c>
      <c r="M376" t="s">
        <v>38</v>
      </c>
      <c r="N376">
        <f t="shared" si="5"/>
        <v>102164.2</v>
      </c>
      <c r="O376" t="s">
        <v>896</v>
      </c>
    </row>
    <row r="377" spans="1:15" x14ac:dyDescent="0.35">
      <c r="A377">
        <v>5131</v>
      </c>
      <c r="B377" t="s">
        <v>129</v>
      </c>
      <c r="C377" t="str">
        <f>IFERROR(VLOOKUP(B377,Branches!A:B, 2, FALSE), B377&amp;"(NOT FOUND)")</f>
        <v>Sabon Gari Branch</v>
      </c>
      <c r="D377" s="1">
        <v>45319</v>
      </c>
      <c r="E377" t="s">
        <v>76</v>
      </c>
      <c r="F377" t="str">
        <f>IFERROR(VLOOKUP(E377, Staff!A:B, 2, FALSE), E377&amp;" (NOT FOUND)")</f>
        <v>Chika Nwankwo</v>
      </c>
      <c r="G377" t="s">
        <v>26</v>
      </c>
      <c r="H377" t="s">
        <v>167</v>
      </c>
      <c r="I377">
        <v>3</v>
      </c>
      <c r="J377" t="s">
        <v>894</v>
      </c>
      <c r="K377" t="s">
        <v>894</v>
      </c>
      <c r="L377" t="s">
        <v>47</v>
      </c>
      <c r="M377" t="s">
        <v>84</v>
      </c>
      <c r="N377" t="str">
        <f t="shared" si="5"/>
        <v/>
      </c>
      <c r="O377" t="s">
        <v>895</v>
      </c>
    </row>
    <row r="378" spans="1:15" x14ac:dyDescent="0.35">
      <c r="A378">
        <v>5405</v>
      </c>
      <c r="B378" t="s">
        <v>88</v>
      </c>
      <c r="C378" t="str">
        <f>IFERROR(VLOOKUP(B378,Branches!A:B, 2, FALSE), B378&amp;"(NOT FOUND)")</f>
        <v>Lekki Branch</v>
      </c>
      <c r="D378" s="1">
        <v>45352</v>
      </c>
      <c r="E378" t="s">
        <v>34</v>
      </c>
      <c r="F378" t="str">
        <f>IFERROR(VLOOKUP(E378, Staff!A:B, 2, FALSE), E378&amp;" (NOT FOUND)")</f>
        <v>Funke Ajayi</v>
      </c>
      <c r="G378" t="s">
        <v>16</v>
      </c>
      <c r="H378" t="s">
        <v>109</v>
      </c>
      <c r="I378">
        <v>4</v>
      </c>
      <c r="J378" t="s">
        <v>894</v>
      </c>
      <c r="K378">
        <v>0</v>
      </c>
      <c r="L378" t="s">
        <v>60</v>
      </c>
      <c r="M378" t="s">
        <v>84</v>
      </c>
      <c r="N378" t="str">
        <f t="shared" si="5"/>
        <v/>
      </c>
      <c r="O378" t="s">
        <v>896</v>
      </c>
    </row>
    <row r="379" spans="1:15" x14ac:dyDescent="0.35">
      <c r="A379">
        <v>5382</v>
      </c>
      <c r="B379" t="s">
        <v>74</v>
      </c>
      <c r="C379" t="str">
        <f>IFERROR(VLOOKUP(B379,Branches!A:B, 2, FALSE), B379&amp;"(NOT FOUND)")</f>
        <v>Bodija Branch</v>
      </c>
      <c r="D379" s="1">
        <v>45396</v>
      </c>
      <c r="E379" t="s">
        <v>34</v>
      </c>
      <c r="F379" t="str">
        <f>IFERROR(VLOOKUP(E379, Staff!A:B, 2, FALSE), E379&amp;" (NOT FOUND)")</f>
        <v>Funke Ajayi</v>
      </c>
      <c r="G379" t="s">
        <v>64</v>
      </c>
      <c r="H379" t="s">
        <v>65</v>
      </c>
      <c r="I379">
        <v>5</v>
      </c>
      <c r="J379">
        <v>12684.53</v>
      </c>
      <c r="K379">
        <v>15</v>
      </c>
      <c r="L379" t="s">
        <v>60</v>
      </c>
      <c r="M379" t="s">
        <v>38</v>
      </c>
      <c r="N379">
        <f t="shared" si="5"/>
        <v>53909.252500000002</v>
      </c>
      <c r="O379" t="s">
        <v>894</v>
      </c>
    </row>
    <row r="380" spans="1:15" x14ac:dyDescent="0.35">
      <c r="A380">
        <v>5253</v>
      </c>
      <c r="B380" t="s">
        <v>74</v>
      </c>
      <c r="C380" t="str">
        <f>IFERROR(VLOOKUP(B380,Branches!A:B, 2, FALSE), B380&amp;"(NOT FOUND)")</f>
        <v>Bodija Branch</v>
      </c>
      <c r="D380" s="1">
        <v>45517</v>
      </c>
      <c r="E380" t="s">
        <v>86</v>
      </c>
      <c r="F380" t="str">
        <f>IFERROR(VLOOKUP(E380, Staff!A:B, 2, FALSE), E380&amp;" (NOT FOUND)")</f>
        <v>Ekene Obi</v>
      </c>
      <c r="G380" t="s">
        <v>16</v>
      </c>
      <c r="H380" t="s">
        <v>109</v>
      </c>
      <c r="I380">
        <v>3</v>
      </c>
      <c r="J380">
        <v>17526.18</v>
      </c>
      <c r="K380">
        <v>5</v>
      </c>
      <c r="L380" t="s">
        <v>60</v>
      </c>
      <c r="M380" t="s">
        <v>84</v>
      </c>
      <c r="N380">
        <f t="shared" si="5"/>
        <v>49949.612999999998</v>
      </c>
      <c r="O380" t="s">
        <v>896</v>
      </c>
    </row>
    <row r="381" spans="1:15" x14ac:dyDescent="0.35">
      <c r="A381">
        <v>5420</v>
      </c>
      <c r="B381" t="s">
        <v>102</v>
      </c>
      <c r="C381" t="str">
        <f>IFERROR(VLOOKUP(B381,Branches!A:B, 2, FALSE), B381&amp;"(NOT FOUND)")</f>
        <v>GRA Branch</v>
      </c>
      <c r="D381" s="1">
        <v>45313</v>
      </c>
      <c r="E381" t="s">
        <v>15</v>
      </c>
      <c r="F381" t="str">
        <f>IFERROR(VLOOKUP(E381, Staff!A:B, 2, FALSE), E381&amp;" (NOT FOUND)")</f>
        <v>Ibrahim Sani</v>
      </c>
      <c r="G381" t="s">
        <v>16</v>
      </c>
      <c r="H381" t="s">
        <v>82</v>
      </c>
      <c r="I381">
        <v>3</v>
      </c>
      <c r="J381" t="s">
        <v>894</v>
      </c>
      <c r="K381">
        <v>0</v>
      </c>
      <c r="L381" t="s">
        <v>47</v>
      </c>
      <c r="M381" t="s">
        <v>84</v>
      </c>
      <c r="N381" t="str">
        <f t="shared" si="5"/>
        <v/>
      </c>
      <c r="O381" t="s">
        <v>896</v>
      </c>
    </row>
    <row r="382" spans="1:15" x14ac:dyDescent="0.35">
      <c r="A382">
        <v>5374</v>
      </c>
      <c r="B382" t="s">
        <v>32</v>
      </c>
      <c r="C382" t="str">
        <f>IFERROR(VLOOKUP(B382,Branches!A:B, 2, FALSE), B382&amp;"(NOT FOUND)")</f>
        <v>Wuse Branch</v>
      </c>
      <c r="D382" s="1">
        <v>45332</v>
      </c>
      <c r="E382" t="s">
        <v>76</v>
      </c>
      <c r="F382" t="str">
        <f>IFERROR(VLOOKUP(E382, Staff!A:B, 2, FALSE), E382&amp;" (NOT FOUND)")</f>
        <v>Chika Nwankwo</v>
      </c>
      <c r="G382" t="s">
        <v>64</v>
      </c>
      <c r="H382" t="s">
        <v>133</v>
      </c>
      <c r="J382">
        <v>14962.08</v>
      </c>
      <c r="K382">
        <v>10</v>
      </c>
      <c r="L382" t="s">
        <v>20</v>
      </c>
      <c r="M382" t="s">
        <v>38</v>
      </c>
      <c r="N382" t="str">
        <f t="shared" si="5"/>
        <v/>
      </c>
      <c r="O382" t="s">
        <v>895</v>
      </c>
    </row>
    <row r="383" spans="1:15" x14ac:dyDescent="0.35">
      <c r="A383">
        <v>5277</v>
      </c>
      <c r="B383" t="s">
        <v>88</v>
      </c>
      <c r="C383" t="str">
        <f>IFERROR(VLOOKUP(B383,Branches!A:B, 2, FALSE), B383&amp;"(NOT FOUND)")</f>
        <v>Lekki Branch</v>
      </c>
      <c r="D383" s="1">
        <v>45559</v>
      </c>
      <c r="E383" t="s">
        <v>34</v>
      </c>
      <c r="F383" t="str">
        <f>IFERROR(VLOOKUP(E383, Staff!A:B, 2, FALSE), E383&amp;" (NOT FOUND)")</f>
        <v>Funke Ajayi</v>
      </c>
      <c r="G383" t="s">
        <v>26</v>
      </c>
      <c r="H383" t="s">
        <v>27</v>
      </c>
      <c r="J383">
        <v>17701.43</v>
      </c>
      <c r="K383">
        <v>0</v>
      </c>
      <c r="L383" t="s">
        <v>60</v>
      </c>
      <c r="M383" t="s">
        <v>38</v>
      </c>
      <c r="N383" t="str">
        <f t="shared" si="5"/>
        <v/>
      </c>
      <c r="O383" t="s">
        <v>896</v>
      </c>
    </row>
    <row r="384" spans="1:15" x14ac:dyDescent="0.35">
      <c r="A384">
        <v>5089</v>
      </c>
      <c r="B384" t="s">
        <v>102</v>
      </c>
      <c r="C384" t="str">
        <f>IFERROR(VLOOKUP(B384,Branches!A:B, 2, FALSE), B384&amp;"(NOT FOUND)")</f>
        <v>GRA Branch</v>
      </c>
      <c r="D384" s="1">
        <v>45409</v>
      </c>
      <c r="E384" t="s">
        <v>98</v>
      </c>
      <c r="F384" t="str">
        <f>IFERROR(VLOOKUP(E384, Staff!A:B, 2, FALSE), E384&amp;" (NOT FOUND)")</f>
        <v>S100 (NOT FOUND)</v>
      </c>
      <c r="G384" t="s">
        <v>26</v>
      </c>
      <c r="H384" t="s">
        <v>167</v>
      </c>
      <c r="I384">
        <v>4</v>
      </c>
      <c r="J384" t="s">
        <v>894</v>
      </c>
      <c r="K384" t="s">
        <v>894</v>
      </c>
      <c r="L384" t="s">
        <v>47</v>
      </c>
      <c r="M384" t="s">
        <v>84</v>
      </c>
      <c r="N384" t="str">
        <f t="shared" si="5"/>
        <v/>
      </c>
      <c r="O384" t="s">
        <v>895</v>
      </c>
    </row>
    <row r="385" spans="1:15" x14ac:dyDescent="0.35">
      <c r="A385">
        <v>5417</v>
      </c>
      <c r="B385" t="s">
        <v>102</v>
      </c>
      <c r="C385" t="str">
        <f>IFERROR(VLOOKUP(B385,Branches!A:B, 2, FALSE), B385&amp;"(NOT FOUND)")</f>
        <v>GRA Branch</v>
      </c>
      <c r="D385" s="1">
        <v>45467</v>
      </c>
      <c r="E385" t="s">
        <v>51</v>
      </c>
      <c r="F385" t="str">
        <f>IFERROR(VLOOKUP(E385, Staff!A:B, 2, FALSE), E385&amp;" (NOT FOUND)")</f>
        <v>Halima Yusuf</v>
      </c>
      <c r="G385" t="s">
        <v>26</v>
      </c>
      <c r="H385" t="s">
        <v>112</v>
      </c>
      <c r="I385">
        <v>2</v>
      </c>
      <c r="J385">
        <v>13185.32</v>
      </c>
      <c r="K385" t="s">
        <v>894</v>
      </c>
      <c r="L385" t="s">
        <v>47</v>
      </c>
      <c r="M385" t="s">
        <v>38</v>
      </c>
      <c r="N385">
        <f t="shared" si="5"/>
        <v>26370.639999999999</v>
      </c>
      <c r="O385" t="s">
        <v>895</v>
      </c>
    </row>
    <row r="386" spans="1:15" x14ac:dyDescent="0.35">
      <c r="A386">
        <v>5472</v>
      </c>
      <c r="B386" t="s">
        <v>74</v>
      </c>
      <c r="C386" t="str">
        <f>IFERROR(VLOOKUP(B386,Branches!A:B, 2, FALSE), B386&amp;"(NOT FOUND)")</f>
        <v>Bodija Branch</v>
      </c>
      <c r="D386" s="1">
        <v>45296</v>
      </c>
      <c r="E386" t="s">
        <v>57</v>
      </c>
      <c r="F386" t="str">
        <f>IFERROR(VLOOKUP(E386, Staff!A:B, 2, FALSE), E386&amp;" (NOT FOUND)")</f>
        <v>Kelechi Umeh</v>
      </c>
      <c r="G386" t="s">
        <v>35</v>
      </c>
      <c r="H386" t="s">
        <v>155</v>
      </c>
      <c r="I386">
        <v>5</v>
      </c>
      <c r="J386" t="s">
        <v>894</v>
      </c>
      <c r="K386" t="s">
        <v>894</v>
      </c>
      <c r="L386" t="s">
        <v>20</v>
      </c>
      <c r="M386" t="s">
        <v>84</v>
      </c>
      <c r="N386" t="str">
        <f t="shared" si="5"/>
        <v/>
      </c>
      <c r="O386" t="s">
        <v>894</v>
      </c>
    </row>
    <row r="387" spans="1:15" x14ac:dyDescent="0.35">
      <c r="A387">
        <v>5042</v>
      </c>
      <c r="B387" t="s">
        <v>32</v>
      </c>
      <c r="C387" t="str">
        <f>IFERROR(VLOOKUP(B387,Branches!A:B, 2, FALSE), B387&amp;"(NOT FOUND)")</f>
        <v>Wuse Branch</v>
      </c>
      <c r="D387" s="1">
        <v>45560</v>
      </c>
      <c r="E387" t="s">
        <v>15</v>
      </c>
      <c r="F387" t="str">
        <f>IFERROR(VLOOKUP(E387, Staff!A:B, 2, FALSE), E387&amp;" (NOT FOUND)")</f>
        <v>Ibrahim Sani</v>
      </c>
      <c r="G387" t="s">
        <v>16</v>
      </c>
      <c r="H387" t="s">
        <v>42</v>
      </c>
      <c r="I387">
        <v>3</v>
      </c>
      <c r="J387">
        <v>36516.449999999997</v>
      </c>
      <c r="K387" t="s">
        <v>894</v>
      </c>
      <c r="L387" t="s">
        <v>60</v>
      </c>
      <c r="M387" t="s">
        <v>84</v>
      </c>
      <c r="N387">
        <f t="shared" ref="N387:N450" si="6">IF(OR(I387="",J387=""),"",IF(OR(K387="", K387=0), I387*J387, (I387*J387)-(K387/100)*I387*J387))</f>
        <v>109549.34999999999</v>
      </c>
      <c r="O387" t="s">
        <v>895</v>
      </c>
    </row>
    <row r="388" spans="1:15" x14ac:dyDescent="0.35">
      <c r="A388">
        <v>5252</v>
      </c>
      <c r="B388" t="s">
        <v>129</v>
      </c>
      <c r="C388" t="str">
        <f>IFERROR(VLOOKUP(B388,Branches!A:B, 2, FALSE), B388&amp;"(NOT FOUND)")</f>
        <v>Sabon Gari Branch</v>
      </c>
      <c r="D388" s="1">
        <v>45328</v>
      </c>
      <c r="E388" t="s">
        <v>25</v>
      </c>
      <c r="F388" t="str">
        <f>IFERROR(VLOOKUP(E388, Staff!A:B, 2, FALSE), E388&amp;" (NOT FOUND)")</f>
        <v>Tobi Adewale</v>
      </c>
      <c r="G388" t="s">
        <v>35</v>
      </c>
      <c r="H388" t="s">
        <v>136</v>
      </c>
      <c r="I388">
        <v>1</v>
      </c>
      <c r="J388">
        <v>906.04</v>
      </c>
      <c r="K388">
        <v>15</v>
      </c>
      <c r="L388" t="s">
        <v>20</v>
      </c>
      <c r="M388" t="s">
        <v>38</v>
      </c>
      <c r="N388">
        <f t="shared" si="6"/>
        <v>770.13400000000001</v>
      </c>
      <c r="O388" t="s">
        <v>896</v>
      </c>
    </row>
    <row r="389" spans="1:15" x14ac:dyDescent="0.35">
      <c r="A389">
        <v>5185</v>
      </c>
      <c r="B389" t="s">
        <v>102</v>
      </c>
      <c r="C389" t="str">
        <f>IFERROR(VLOOKUP(B389,Branches!A:B, 2, FALSE), B389&amp;"(NOT FOUND)")</f>
        <v>GRA Branch</v>
      </c>
      <c r="D389" s="1">
        <v>45305</v>
      </c>
      <c r="E389" t="s">
        <v>57</v>
      </c>
      <c r="F389" t="str">
        <f>IFERROR(VLOOKUP(E389, Staff!A:B, 2, FALSE), E389&amp;" (NOT FOUND)")</f>
        <v>Kelechi Umeh</v>
      </c>
      <c r="G389" t="s">
        <v>16</v>
      </c>
      <c r="H389" t="s">
        <v>170</v>
      </c>
      <c r="I389">
        <v>3</v>
      </c>
      <c r="J389" t="s">
        <v>894</v>
      </c>
      <c r="K389">
        <v>0</v>
      </c>
      <c r="L389" t="s">
        <v>60</v>
      </c>
      <c r="M389" t="s">
        <v>84</v>
      </c>
      <c r="N389" t="str">
        <f t="shared" si="6"/>
        <v/>
      </c>
      <c r="O389" t="s">
        <v>896</v>
      </c>
    </row>
    <row r="390" spans="1:15" x14ac:dyDescent="0.35">
      <c r="A390">
        <v>5194</v>
      </c>
      <c r="B390" t="s">
        <v>129</v>
      </c>
      <c r="C390" t="str">
        <f>IFERROR(VLOOKUP(B390,Branches!A:B, 2, FALSE), B390&amp;"(NOT FOUND)")</f>
        <v>Sabon Gari Branch</v>
      </c>
      <c r="D390" s="1">
        <v>45410</v>
      </c>
      <c r="E390" t="s">
        <v>15</v>
      </c>
      <c r="F390" t="str">
        <f>IFERROR(VLOOKUP(E390, Staff!A:B, 2, FALSE), E390&amp;" (NOT FOUND)")</f>
        <v>Ibrahim Sani</v>
      </c>
      <c r="G390" t="s">
        <v>26</v>
      </c>
      <c r="H390" t="s">
        <v>46</v>
      </c>
      <c r="I390">
        <v>1</v>
      </c>
      <c r="J390">
        <v>26544.69</v>
      </c>
      <c r="K390">
        <v>10</v>
      </c>
      <c r="L390" t="s">
        <v>20</v>
      </c>
      <c r="M390" t="s">
        <v>84</v>
      </c>
      <c r="N390">
        <f t="shared" si="6"/>
        <v>23890.220999999998</v>
      </c>
      <c r="O390" t="s">
        <v>896</v>
      </c>
    </row>
    <row r="391" spans="1:15" x14ac:dyDescent="0.35">
      <c r="A391">
        <v>5278</v>
      </c>
      <c r="B391" t="s">
        <v>88</v>
      </c>
      <c r="C391" t="str">
        <f>IFERROR(VLOOKUP(B391,Branches!A:B, 2, FALSE), B391&amp;"(NOT FOUND)")</f>
        <v>Lekki Branch</v>
      </c>
      <c r="D391" s="1">
        <v>45500</v>
      </c>
      <c r="E391" t="s">
        <v>51</v>
      </c>
      <c r="F391" t="str">
        <f>IFERROR(VLOOKUP(E391, Staff!A:B, 2, FALSE), E391&amp;" (NOT FOUND)")</f>
        <v>Halima Yusuf</v>
      </c>
      <c r="G391" t="s">
        <v>16</v>
      </c>
      <c r="H391" t="s">
        <v>82</v>
      </c>
      <c r="I391">
        <v>4</v>
      </c>
      <c r="J391">
        <v>11766.4</v>
      </c>
      <c r="K391" t="s">
        <v>894</v>
      </c>
      <c r="L391" t="s">
        <v>20</v>
      </c>
      <c r="M391" t="s">
        <v>84</v>
      </c>
      <c r="N391">
        <f t="shared" si="6"/>
        <v>47065.599999999999</v>
      </c>
      <c r="O391" t="s">
        <v>895</v>
      </c>
    </row>
    <row r="392" spans="1:15" x14ac:dyDescent="0.35">
      <c r="A392">
        <v>5418</v>
      </c>
      <c r="B392" t="s">
        <v>102</v>
      </c>
      <c r="C392" t="str">
        <f>IFERROR(VLOOKUP(B392,Branches!A:B, 2, FALSE), B392&amp;"(NOT FOUND)")</f>
        <v>GRA Branch</v>
      </c>
      <c r="D392" s="1">
        <v>45524</v>
      </c>
      <c r="E392" t="s">
        <v>51</v>
      </c>
      <c r="F392" t="str">
        <f>IFERROR(VLOOKUP(E392, Staff!A:B, 2, FALSE), E392&amp;" (NOT FOUND)")</f>
        <v>Halima Yusuf</v>
      </c>
      <c r="G392" t="s">
        <v>26</v>
      </c>
      <c r="H392" t="s">
        <v>46</v>
      </c>
      <c r="I392">
        <v>5</v>
      </c>
      <c r="J392" t="s">
        <v>894</v>
      </c>
      <c r="K392">
        <v>0</v>
      </c>
      <c r="L392" t="s">
        <v>20</v>
      </c>
      <c r="M392" t="s">
        <v>84</v>
      </c>
      <c r="N392" t="str">
        <f t="shared" si="6"/>
        <v/>
      </c>
      <c r="O392" t="s">
        <v>895</v>
      </c>
    </row>
    <row r="393" spans="1:15" x14ac:dyDescent="0.35">
      <c r="A393">
        <v>5039</v>
      </c>
      <c r="B393" t="s">
        <v>102</v>
      </c>
      <c r="C393" t="str">
        <f>IFERROR(VLOOKUP(B393,Branches!A:B, 2, FALSE), B393&amp;"(NOT FOUND)")</f>
        <v>GRA Branch</v>
      </c>
      <c r="D393" s="1">
        <v>45396</v>
      </c>
      <c r="E393" t="s">
        <v>34</v>
      </c>
      <c r="F393" t="str">
        <f>IFERROR(VLOOKUP(E393, Staff!A:B, 2, FALSE), E393&amp;" (NOT FOUND)")</f>
        <v>Funke Ajayi</v>
      </c>
      <c r="G393" t="s">
        <v>26</v>
      </c>
      <c r="H393" t="s">
        <v>112</v>
      </c>
      <c r="I393">
        <v>3</v>
      </c>
      <c r="J393">
        <v>35438.85</v>
      </c>
      <c r="K393" t="s">
        <v>894</v>
      </c>
      <c r="L393" t="s">
        <v>60</v>
      </c>
      <c r="M393" t="s">
        <v>84</v>
      </c>
      <c r="N393">
        <f t="shared" si="6"/>
        <v>106316.54999999999</v>
      </c>
      <c r="O393" t="s">
        <v>896</v>
      </c>
    </row>
    <row r="394" spans="1:15" x14ac:dyDescent="0.35">
      <c r="A394">
        <v>5408</v>
      </c>
      <c r="B394" t="s">
        <v>74</v>
      </c>
      <c r="C394" t="str">
        <f>IFERROR(VLOOKUP(B394,Branches!A:B, 2, FALSE), B394&amp;"(NOT FOUND)")</f>
        <v>Bodija Branch</v>
      </c>
      <c r="D394" s="1">
        <v>45392</v>
      </c>
      <c r="E394" t="s">
        <v>76</v>
      </c>
      <c r="F394" t="str">
        <f>IFERROR(VLOOKUP(E394, Staff!A:B, 2, FALSE), E394&amp;" (NOT FOUND)")</f>
        <v>Chika Nwankwo</v>
      </c>
      <c r="G394" t="s">
        <v>64</v>
      </c>
      <c r="H394" t="s">
        <v>116</v>
      </c>
      <c r="I394">
        <v>3</v>
      </c>
      <c r="J394" t="s">
        <v>894</v>
      </c>
      <c r="K394" t="s">
        <v>894</v>
      </c>
      <c r="L394" t="s">
        <v>20</v>
      </c>
      <c r="M394" t="s">
        <v>84</v>
      </c>
      <c r="N394" t="str">
        <f t="shared" si="6"/>
        <v/>
      </c>
      <c r="O394" t="s">
        <v>895</v>
      </c>
    </row>
    <row r="395" spans="1:15" x14ac:dyDescent="0.35">
      <c r="A395">
        <v>5073</v>
      </c>
      <c r="B395" t="s">
        <v>129</v>
      </c>
      <c r="C395" t="str">
        <f>IFERROR(VLOOKUP(B395,Branches!A:B, 2, FALSE), B395&amp;"(NOT FOUND)")</f>
        <v>Sabon Gari Branch</v>
      </c>
      <c r="D395" s="1">
        <v>45522</v>
      </c>
      <c r="E395" t="s">
        <v>51</v>
      </c>
      <c r="F395" t="str">
        <f>IFERROR(VLOOKUP(E395, Staff!A:B, 2, FALSE), E395&amp;" (NOT FOUND)")</f>
        <v>Halima Yusuf</v>
      </c>
      <c r="G395" t="s">
        <v>35</v>
      </c>
      <c r="H395" t="s">
        <v>36</v>
      </c>
      <c r="I395">
        <v>4</v>
      </c>
      <c r="J395" t="s">
        <v>894</v>
      </c>
      <c r="K395" t="s">
        <v>894</v>
      </c>
      <c r="L395" t="s">
        <v>47</v>
      </c>
      <c r="M395" t="s">
        <v>84</v>
      </c>
      <c r="N395" t="str">
        <f t="shared" si="6"/>
        <v/>
      </c>
      <c r="O395" t="s">
        <v>896</v>
      </c>
    </row>
    <row r="396" spans="1:15" x14ac:dyDescent="0.35">
      <c r="A396">
        <v>5111</v>
      </c>
      <c r="B396" t="s">
        <v>32</v>
      </c>
      <c r="C396" t="str">
        <f>IFERROR(VLOOKUP(B396,Branches!A:B, 2, FALSE), B396&amp;"(NOT FOUND)")</f>
        <v>Wuse Branch</v>
      </c>
      <c r="D396" s="1">
        <v>45367</v>
      </c>
      <c r="E396" t="s">
        <v>76</v>
      </c>
      <c r="F396" t="str">
        <f>IFERROR(VLOOKUP(E396, Staff!A:B, 2, FALSE), E396&amp;" (NOT FOUND)")</f>
        <v>Chika Nwankwo</v>
      </c>
      <c r="G396" t="s">
        <v>64</v>
      </c>
      <c r="H396" t="s">
        <v>141</v>
      </c>
      <c r="I396">
        <v>2</v>
      </c>
      <c r="J396">
        <v>26605.61</v>
      </c>
      <c r="K396">
        <v>0</v>
      </c>
      <c r="L396" t="s">
        <v>20</v>
      </c>
      <c r="M396" t="s">
        <v>84</v>
      </c>
      <c r="N396">
        <f t="shared" si="6"/>
        <v>53211.22</v>
      </c>
      <c r="O396" t="s">
        <v>894</v>
      </c>
    </row>
    <row r="397" spans="1:15" x14ac:dyDescent="0.35">
      <c r="A397">
        <v>5429</v>
      </c>
      <c r="B397" t="s">
        <v>32</v>
      </c>
      <c r="C397" t="str">
        <f>IFERROR(VLOOKUP(B397,Branches!A:B, 2, FALSE), B397&amp;"(NOT FOUND)")</f>
        <v>Wuse Branch</v>
      </c>
      <c r="D397" s="1">
        <v>45355</v>
      </c>
      <c r="E397" t="s">
        <v>57</v>
      </c>
      <c r="F397" t="str">
        <f>IFERROR(VLOOKUP(E397, Staff!A:B, 2, FALSE), E397&amp;" (NOT FOUND)")</f>
        <v>Kelechi Umeh</v>
      </c>
      <c r="G397" t="s">
        <v>64</v>
      </c>
      <c r="H397" t="s">
        <v>141</v>
      </c>
      <c r="I397">
        <v>1</v>
      </c>
      <c r="J397">
        <v>20959.900000000001</v>
      </c>
      <c r="K397" t="s">
        <v>894</v>
      </c>
      <c r="L397" t="s">
        <v>20</v>
      </c>
      <c r="M397" t="s">
        <v>84</v>
      </c>
      <c r="N397">
        <f t="shared" si="6"/>
        <v>20959.900000000001</v>
      </c>
      <c r="O397" t="s">
        <v>896</v>
      </c>
    </row>
    <row r="398" spans="1:15" x14ac:dyDescent="0.35">
      <c r="A398">
        <v>5337</v>
      </c>
      <c r="B398" t="s">
        <v>32</v>
      </c>
      <c r="C398" t="str">
        <f>IFERROR(VLOOKUP(B398,Branches!A:B, 2, FALSE), B398&amp;"(NOT FOUND)")</f>
        <v>Wuse Branch</v>
      </c>
      <c r="D398" s="1">
        <v>45312</v>
      </c>
      <c r="E398" t="s">
        <v>25</v>
      </c>
      <c r="F398" t="str">
        <f>IFERROR(VLOOKUP(E398, Staff!A:B, 2, FALSE), E398&amp;" (NOT FOUND)")</f>
        <v>Tobi Adewale</v>
      </c>
      <c r="G398" t="s">
        <v>26</v>
      </c>
      <c r="H398" t="s">
        <v>52</v>
      </c>
      <c r="I398">
        <v>4</v>
      </c>
      <c r="J398">
        <v>5947.79</v>
      </c>
      <c r="K398" t="s">
        <v>894</v>
      </c>
      <c r="L398" t="s">
        <v>20</v>
      </c>
      <c r="M398" t="s">
        <v>38</v>
      </c>
      <c r="N398">
        <f t="shared" si="6"/>
        <v>23791.16</v>
      </c>
      <c r="O398" t="s">
        <v>896</v>
      </c>
    </row>
    <row r="399" spans="1:15" x14ac:dyDescent="0.35">
      <c r="A399">
        <v>5024</v>
      </c>
      <c r="B399" t="s">
        <v>74</v>
      </c>
      <c r="C399" t="str">
        <f>IFERROR(VLOOKUP(B399,Branches!A:B, 2, FALSE), B399&amp;"(NOT FOUND)")</f>
        <v>Bodija Branch</v>
      </c>
      <c r="D399" s="1">
        <v>45628</v>
      </c>
      <c r="E399" t="s">
        <v>15</v>
      </c>
      <c r="F399" t="str">
        <f>IFERROR(VLOOKUP(E399, Staff!A:B, 2, FALSE), E399&amp;" (NOT FOUND)")</f>
        <v>Ibrahim Sani</v>
      </c>
      <c r="G399" t="s">
        <v>16</v>
      </c>
      <c r="H399" t="s">
        <v>42</v>
      </c>
      <c r="J399">
        <v>8658.81</v>
      </c>
      <c r="K399">
        <v>10</v>
      </c>
      <c r="L399" t="s">
        <v>20</v>
      </c>
      <c r="M399" t="s">
        <v>84</v>
      </c>
      <c r="N399" t="str">
        <f t="shared" si="6"/>
        <v/>
      </c>
      <c r="O399" t="s">
        <v>895</v>
      </c>
    </row>
    <row r="400" spans="1:15" x14ac:dyDescent="0.35">
      <c r="A400">
        <v>5364</v>
      </c>
      <c r="B400" t="s">
        <v>102</v>
      </c>
      <c r="C400" t="str">
        <f>IFERROR(VLOOKUP(B400,Branches!A:B, 2, FALSE), B400&amp;"(NOT FOUND)")</f>
        <v>GRA Branch</v>
      </c>
      <c r="D400" s="1">
        <v>45373</v>
      </c>
      <c r="E400" t="s">
        <v>25</v>
      </c>
      <c r="F400" t="str">
        <f>IFERROR(VLOOKUP(E400, Staff!A:B, 2, FALSE), E400&amp;" (NOT FOUND)")</f>
        <v>Tobi Adewale</v>
      </c>
      <c r="G400" t="s">
        <v>35</v>
      </c>
      <c r="H400" t="s">
        <v>99</v>
      </c>
      <c r="I400">
        <v>3</v>
      </c>
      <c r="J400" t="s">
        <v>894</v>
      </c>
      <c r="K400">
        <v>10</v>
      </c>
      <c r="L400" t="s">
        <v>47</v>
      </c>
      <c r="M400" t="s">
        <v>84</v>
      </c>
      <c r="N400" t="str">
        <f t="shared" si="6"/>
        <v/>
      </c>
      <c r="O400" t="s">
        <v>896</v>
      </c>
    </row>
    <row r="401" spans="1:15" x14ac:dyDescent="0.35">
      <c r="A401">
        <v>5425</v>
      </c>
      <c r="B401" t="s">
        <v>102</v>
      </c>
      <c r="C401" t="str">
        <f>IFERROR(VLOOKUP(B401,Branches!A:B, 2, FALSE), B401&amp;"(NOT FOUND)")</f>
        <v>GRA Branch</v>
      </c>
      <c r="D401" s="1">
        <v>45304</v>
      </c>
      <c r="E401" t="s">
        <v>57</v>
      </c>
      <c r="F401" t="str">
        <f>IFERROR(VLOOKUP(E401, Staff!A:B, 2, FALSE), E401&amp;" (NOT FOUND)")</f>
        <v>Kelechi Umeh</v>
      </c>
      <c r="G401" t="s">
        <v>16</v>
      </c>
      <c r="H401" t="s">
        <v>82</v>
      </c>
      <c r="J401" t="s">
        <v>894</v>
      </c>
      <c r="K401">
        <v>0</v>
      </c>
      <c r="L401" t="s">
        <v>47</v>
      </c>
      <c r="M401" t="s">
        <v>38</v>
      </c>
      <c r="N401" t="str">
        <f t="shared" si="6"/>
        <v/>
      </c>
      <c r="O401" t="s">
        <v>894</v>
      </c>
    </row>
    <row r="402" spans="1:15" x14ac:dyDescent="0.35">
      <c r="A402">
        <v>5077</v>
      </c>
      <c r="B402" t="s">
        <v>88</v>
      </c>
      <c r="C402" t="str">
        <f>IFERROR(VLOOKUP(B402,Branches!A:B, 2, FALSE), B402&amp;"(NOT FOUND)")</f>
        <v>Lekki Branch</v>
      </c>
      <c r="D402" s="1">
        <v>45299</v>
      </c>
      <c r="E402" t="s">
        <v>34</v>
      </c>
      <c r="F402" t="str">
        <f>IFERROR(VLOOKUP(E402, Staff!A:B, 2, FALSE), E402&amp;" (NOT FOUND)")</f>
        <v>Funke Ajayi</v>
      </c>
      <c r="G402" t="s">
        <v>16</v>
      </c>
      <c r="H402" t="s">
        <v>42</v>
      </c>
      <c r="J402">
        <v>19904.349999999999</v>
      </c>
      <c r="K402">
        <v>0</v>
      </c>
      <c r="L402" t="s">
        <v>47</v>
      </c>
      <c r="M402" t="s">
        <v>38</v>
      </c>
      <c r="N402" t="str">
        <f t="shared" si="6"/>
        <v/>
      </c>
      <c r="O402" t="s">
        <v>896</v>
      </c>
    </row>
    <row r="403" spans="1:15" x14ac:dyDescent="0.35">
      <c r="A403">
        <v>5170</v>
      </c>
      <c r="B403" t="s">
        <v>74</v>
      </c>
      <c r="C403" t="str">
        <f>IFERROR(VLOOKUP(B403,Branches!A:B, 2, FALSE), B403&amp;"(NOT FOUND)")</f>
        <v>Bodija Branch</v>
      </c>
      <c r="D403" s="1">
        <v>45447</v>
      </c>
      <c r="E403" t="s">
        <v>86</v>
      </c>
      <c r="F403" t="str">
        <f>IFERROR(VLOOKUP(E403, Staff!A:B, 2, FALSE), E403&amp;" (NOT FOUND)")</f>
        <v>Ekene Obi</v>
      </c>
      <c r="G403" t="s">
        <v>26</v>
      </c>
      <c r="H403" t="s">
        <v>27</v>
      </c>
      <c r="I403">
        <v>2</v>
      </c>
      <c r="J403">
        <v>8532.32</v>
      </c>
      <c r="K403">
        <v>5</v>
      </c>
      <c r="L403" t="s">
        <v>47</v>
      </c>
      <c r="M403" t="s">
        <v>84</v>
      </c>
      <c r="N403">
        <f t="shared" si="6"/>
        <v>16211.407999999999</v>
      </c>
      <c r="O403" t="s">
        <v>896</v>
      </c>
    </row>
    <row r="404" spans="1:15" x14ac:dyDescent="0.35">
      <c r="A404">
        <v>5386</v>
      </c>
      <c r="B404" t="s">
        <v>74</v>
      </c>
      <c r="C404" t="str">
        <f>IFERROR(VLOOKUP(B404,Branches!A:B, 2, FALSE), B404&amp;"(NOT FOUND)")</f>
        <v>Bodija Branch</v>
      </c>
      <c r="D404" s="1">
        <v>45406</v>
      </c>
      <c r="E404" t="s">
        <v>51</v>
      </c>
      <c r="F404" t="str">
        <f>IFERROR(VLOOKUP(E404, Staff!A:B, 2, FALSE), E404&amp;" (NOT FOUND)")</f>
        <v>Halima Yusuf</v>
      </c>
      <c r="G404" t="s">
        <v>35</v>
      </c>
      <c r="H404" t="s">
        <v>58</v>
      </c>
      <c r="I404">
        <v>5</v>
      </c>
      <c r="J404">
        <v>24089.08</v>
      </c>
      <c r="K404" t="s">
        <v>894</v>
      </c>
      <c r="L404" t="s">
        <v>20</v>
      </c>
      <c r="M404" t="s">
        <v>38</v>
      </c>
      <c r="N404">
        <f t="shared" si="6"/>
        <v>120445.40000000001</v>
      </c>
      <c r="O404" t="s">
        <v>895</v>
      </c>
    </row>
    <row r="405" spans="1:15" x14ac:dyDescent="0.35">
      <c r="A405">
        <v>5419</v>
      </c>
      <c r="B405" t="s">
        <v>74</v>
      </c>
      <c r="C405" t="str">
        <f>IFERROR(VLOOKUP(B405,Branches!A:B, 2, FALSE), B405&amp;"(NOT FOUND)")</f>
        <v>Bodija Branch</v>
      </c>
      <c r="D405" s="1">
        <v>45554</v>
      </c>
      <c r="E405" t="s">
        <v>76</v>
      </c>
      <c r="F405" t="str">
        <f>IFERROR(VLOOKUP(E405, Staff!A:B, 2, FALSE), E405&amp;" (NOT FOUND)")</f>
        <v>Chika Nwankwo</v>
      </c>
      <c r="G405" t="s">
        <v>35</v>
      </c>
      <c r="H405" t="s">
        <v>36</v>
      </c>
      <c r="I405">
        <v>2</v>
      </c>
      <c r="J405">
        <v>35989.49</v>
      </c>
      <c r="K405">
        <v>10</v>
      </c>
      <c r="L405" t="s">
        <v>47</v>
      </c>
      <c r="M405" t="s">
        <v>38</v>
      </c>
      <c r="N405">
        <f t="shared" si="6"/>
        <v>64781.081999999995</v>
      </c>
      <c r="O405" t="s">
        <v>896</v>
      </c>
    </row>
    <row r="406" spans="1:15" x14ac:dyDescent="0.35">
      <c r="A406">
        <v>5168</v>
      </c>
      <c r="B406" t="s">
        <v>88</v>
      </c>
      <c r="C406" t="str">
        <f>IFERROR(VLOOKUP(B406,Branches!A:B, 2, FALSE), B406&amp;"(NOT FOUND)")</f>
        <v>Lekki Branch</v>
      </c>
      <c r="D406" s="1">
        <v>45322</v>
      </c>
      <c r="E406" t="s">
        <v>15</v>
      </c>
      <c r="F406" t="str">
        <f>IFERROR(VLOOKUP(E406, Staff!A:B, 2, FALSE), E406&amp;" (NOT FOUND)")</f>
        <v>Ibrahim Sani</v>
      </c>
      <c r="G406" t="s">
        <v>35</v>
      </c>
      <c r="H406" t="s">
        <v>99</v>
      </c>
      <c r="I406">
        <v>3</v>
      </c>
      <c r="J406">
        <v>23496.71</v>
      </c>
      <c r="K406">
        <v>15</v>
      </c>
      <c r="L406" t="s">
        <v>20</v>
      </c>
      <c r="M406" t="s">
        <v>84</v>
      </c>
      <c r="N406">
        <f t="shared" si="6"/>
        <v>59916.61050000001</v>
      </c>
      <c r="O406" t="s">
        <v>894</v>
      </c>
    </row>
    <row r="407" spans="1:15" x14ac:dyDescent="0.35">
      <c r="A407">
        <v>5295</v>
      </c>
      <c r="B407" t="s">
        <v>129</v>
      </c>
      <c r="C407" t="str">
        <f>IFERROR(VLOOKUP(B407,Branches!A:B, 2, FALSE), B407&amp;"(NOT FOUND)")</f>
        <v>Sabon Gari Branch</v>
      </c>
      <c r="D407" s="1">
        <v>45439</v>
      </c>
      <c r="E407" t="s">
        <v>15</v>
      </c>
      <c r="F407" t="str">
        <f>IFERROR(VLOOKUP(E407, Staff!A:B, 2, FALSE), E407&amp;" (NOT FOUND)")</f>
        <v>Ibrahim Sani</v>
      </c>
      <c r="G407" t="s">
        <v>16</v>
      </c>
      <c r="H407" t="s">
        <v>109</v>
      </c>
      <c r="I407">
        <v>5</v>
      </c>
      <c r="J407" t="s">
        <v>894</v>
      </c>
      <c r="K407">
        <v>15</v>
      </c>
      <c r="L407" t="s">
        <v>47</v>
      </c>
      <c r="M407" t="s">
        <v>38</v>
      </c>
      <c r="N407" t="str">
        <f t="shared" si="6"/>
        <v/>
      </c>
      <c r="O407" t="s">
        <v>896</v>
      </c>
    </row>
    <row r="408" spans="1:15" x14ac:dyDescent="0.35">
      <c r="A408">
        <v>5312</v>
      </c>
      <c r="B408" t="s">
        <v>129</v>
      </c>
      <c r="C408" t="str">
        <f>IFERROR(VLOOKUP(B408,Branches!A:B, 2, FALSE), B408&amp;"(NOT FOUND)")</f>
        <v>Sabon Gari Branch</v>
      </c>
      <c r="D408" s="1">
        <v>45537</v>
      </c>
      <c r="E408" t="s">
        <v>86</v>
      </c>
      <c r="F408" t="str">
        <f>IFERROR(VLOOKUP(E408, Staff!A:B, 2, FALSE), E408&amp;" (NOT FOUND)")</f>
        <v>Ekene Obi</v>
      </c>
      <c r="G408" t="s">
        <v>64</v>
      </c>
      <c r="H408" t="s">
        <v>65</v>
      </c>
      <c r="I408">
        <v>4</v>
      </c>
      <c r="J408">
        <v>29464.81</v>
      </c>
      <c r="K408" t="s">
        <v>894</v>
      </c>
      <c r="L408" t="s">
        <v>20</v>
      </c>
      <c r="M408" t="s">
        <v>84</v>
      </c>
      <c r="N408">
        <f t="shared" si="6"/>
        <v>117859.24</v>
      </c>
      <c r="O408" t="s">
        <v>895</v>
      </c>
    </row>
    <row r="409" spans="1:15" x14ac:dyDescent="0.35">
      <c r="A409">
        <v>5054</v>
      </c>
      <c r="B409" t="s">
        <v>129</v>
      </c>
      <c r="C409" t="str">
        <f>IFERROR(VLOOKUP(B409,Branches!A:B, 2, FALSE), B409&amp;"(NOT FOUND)")</f>
        <v>Sabon Gari Branch</v>
      </c>
      <c r="D409" s="1">
        <v>45455</v>
      </c>
      <c r="E409" t="s">
        <v>108</v>
      </c>
      <c r="F409" t="str">
        <f>IFERROR(VLOOKUP(E409, Staff!A:B, 2, FALSE), E409&amp;" (NOT FOUND)")</f>
        <v>Ronke Bakare</v>
      </c>
      <c r="G409" t="s">
        <v>35</v>
      </c>
      <c r="H409" t="s">
        <v>155</v>
      </c>
      <c r="J409">
        <v>13997.51</v>
      </c>
      <c r="K409" t="s">
        <v>894</v>
      </c>
      <c r="L409" t="s">
        <v>47</v>
      </c>
      <c r="M409" t="s">
        <v>38</v>
      </c>
      <c r="N409" t="str">
        <f t="shared" si="6"/>
        <v/>
      </c>
      <c r="O409" t="s">
        <v>894</v>
      </c>
    </row>
    <row r="410" spans="1:15" x14ac:dyDescent="0.35">
      <c r="A410">
        <v>5226</v>
      </c>
      <c r="B410" t="s">
        <v>32</v>
      </c>
      <c r="C410" t="str">
        <f>IFERROR(VLOOKUP(B410,Branches!A:B, 2, FALSE), B410&amp;"(NOT FOUND)")</f>
        <v>Wuse Branch</v>
      </c>
      <c r="D410" s="1">
        <v>45561</v>
      </c>
      <c r="E410" t="s">
        <v>51</v>
      </c>
      <c r="F410" t="str">
        <f>IFERROR(VLOOKUP(E410, Staff!A:B, 2, FALSE), E410&amp;" (NOT FOUND)")</f>
        <v>Halima Yusuf</v>
      </c>
      <c r="G410" t="s">
        <v>35</v>
      </c>
      <c r="H410" t="s">
        <v>58</v>
      </c>
      <c r="J410">
        <v>15232.19</v>
      </c>
      <c r="K410" t="s">
        <v>894</v>
      </c>
      <c r="L410" t="s">
        <v>60</v>
      </c>
      <c r="M410" t="s">
        <v>38</v>
      </c>
      <c r="N410" t="str">
        <f t="shared" si="6"/>
        <v/>
      </c>
      <c r="O410" t="s">
        <v>895</v>
      </c>
    </row>
    <row r="411" spans="1:15" x14ac:dyDescent="0.35">
      <c r="A411">
        <v>5317</v>
      </c>
      <c r="B411" t="s">
        <v>32</v>
      </c>
      <c r="C411" t="str">
        <f>IFERROR(VLOOKUP(B411,Branches!A:B, 2, FALSE), B411&amp;"(NOT FOUND)")</f>
        <v>Wuse Branch</v>
      </c>
      <c r="D411" s="1">
        <v>45471</v>
      </c>
      <c r="E411" t="s">
        <v>57</v>
      </c>
      <c r="F411" t="str">
        <f>IFERROR(VLOOKUP(E411, Staff!A:B, 2, FALSE), E411&amp;" (NOT FOUND)")</f>
        <v>Kelechi Umeh</v>
      </c>
      <c r="G411" t="s">
        <v>64</v>
      </c>
      <c r="H411" t="s">
        <v>77</v>
      </c>
      <c r="I411">
        <v>4</v>
      </c>
      <c r="J411">
        <v>10852.71</v>
      </c>
      <c r="K411">
        <v>5</v>
      </c>
      <c r="L411" t="s">
        <v>20</v>
      </c>
      <c r="M411" t="s">
        <v>38</v>
      </c>
      <c r="N411">
        <f t="shared" si="6"/>
        <v>41240.297999999995</v>
      </c>
      <c r="O411" t="s">
        <v>894</v>
      </c>
    </row>
    <row r="412" spans="1:15" x14ac:dyDescent="0.35">
      <c r="A412">
        <v>5433</v>
      </c>
      <c r="B412" t="s">
        <v>74</v>
      </c>
      <c r="C412" t="str">
        <f>IFERROR(VLOOKUP(B412,Branches!A:B, 2, FALSE), B412&amp;"(NOT FOUND)")</f>
        <v>Bodija Branch</v>
      </c>
      <c r="D412" s="1">
        <v>45494</v>
      </c>
      <c r="E412" t="s">
        <v>57</v>
      </c>
      <c r="F412" t="str">
        <f>IFERROR(VLOOKUP(E412, Staff!A:B, 2, FALSE), E412&amp;" (NOT FOUND)")</f>
        <v>Kelechi Umeh</v>
      </c>
      <c r="G412" t="s">
        <v>35</v>
      </c>
      <c r="H412" t="s">
        <v>99</v>
      </c>
      <c r="I412">
        <v>3</v>
      </c>
      <c r="J412" t="s">
        <v>894</v>
      </c>
      <c r="K412">
        <v>10</v>
      </c>
      <c r="L412" t="s">
        <v>47</v>
      </c>
      <c r="M412" t="s">
        <v>84</v>
      </c>
      <c r="N412" t="str">
        <f t="shared" si="6"/>
        <v/>
      </c>
      <c r="O412" t="s">
        <v>896</v>
      </c>
    </row>
    <row r="413" spans="1:15" x14ac:dyDescent="0.35">
      <c r="A413">
        <v>5286</v>
      </c>
      <c r="B413" t="s">
        <v>149</v>
      </c>
      <c r="C413" t="str">
        <f>IFERROR(VLOOKUP(B413,Branches!A:B, 2, FALSE), B413&amp;"(NOT FOUND)")</f>
        <v>BR09(NOT FOUND)</v>
      </c>
      <c r="D413" s="1">
        <v>45334</v>
      </c>
      <c r="E413" t="s">
        <v>86</v>
      </c>
      <c r="F413" t="str">
        <f>IFERROR(VLOOKUP(E413, Staff!A:B, 2, FALSE), E413&amp;" (NOT FOUND)")</f>
        <v>Ekene Obi</v>
      </c>
      <c r="G413" t="s">
        <v>35</v>
      </c>
      <c r="H413" t="s">
        <v>99</v>
      </c>
      <c r="I413">
        <v>5</v>
      </c>
      <c r="J413" t="s">
        <v>894</v>
      </c>
      <c r="K413" t="s">
        <v>894</v>
      </c>
      <c r="L413" t="s">
        <v>47</v>
      </c>
      <c r="M413" t="s">
        <v>38</v>
      </c>
      <c r="N413" t="str">
        <f t="shared" si="6"/>
        <v/>
      </c>
      <c r="O413" t="s">
        <v>896</v>
      </c>
    </row>
    <row r="414" spans="1:15" x14ac:dyDescent="0.35">
      <c r="A414">
        <v>5033</v>
      </c>
      <c r="B414" t="s">
        <v>129</v>
      </c>
      <c r="C414" t="str">
        <f>IFERROR(VLOOKUP(B414,Branches!A:B, 2, FALSE), B414&amp;"(NOT FOUND)")</f>
        <v>Sabon Gari Branch</v>
      </c>
      <c r="D414" s="1">
        <v>45487</v>
      </c>
      <c r="E414" t="s">
        <v>25</v>
      </c>
      <c r="F414" t="str">
        <f>IFERROR(VLOOKUP(E414, Staff!A:B, 2, FALSE), E414&amp;" (NOT FOUND)")</f>
        <v>Tobi Adewale</v>
      </c>
      <c r="G414" t="s">
        <v>16</v>
      </c>
      <c r="H414" t="s">
        <v>17</v>
      </c>
      <c r="I414">
        <v>1</v>
      </c>
      <c r="J414">
        <v>38152.949999999997</v>
      </c>
      <c r="K414">
        <v>5</v>
      </c>
      <c r="L414" t="s">
        <v>60</v>
      </c>
      <c r="M414" t="s">
        <v>84</v>
      </c>
      <c r="N414">
        <f t="shared" si="6"/>
        <v>36245.302499999998</v>
      </c>
      <c r="O414" t="s">
        <v>894</v>
      </c>
    </row>
    <row r="415" spans="1:15" x14ac:dyDescent="0.35">
      <c r="A415">
        <v>5061</v>
      </c>
      <c r="B415" t="s">
        <v>129</v>
      </c>
      <c r="C415" t="str">
        <f>IFERROR(VLOOKUP(B415,Branches!A:B, 2, FALSE), B415&amp;"(NOT FOUND)")</f>
        <v>Sabon Gari Branch</v>
      </c>
      <c r="D415" s="1">
        <v>45492</v>
      </c>
      <c r="E415" t="s">
        <v>57</v>
      </c>
      <c r="F415" t="str">
        <f>IFERROR(VLOOKUP(E415, Staff!A:B, 2, FALSE), E415&amp;" (NOT FOUND)")</f>
        <v>Kelechi Umeh</v>
      </c>
      <c r="G415" t="s">
        <v>16</v>
      </c>
      <c r="H415" t="s">
        <v>42</v>
      </c>
      <c r="I415">
        <v>3</v>
      </c>
      <c r="J415" t="s">
        <v>894</v>
      </c>
      <c r="K415" t="s">
        <v>894</v>
      </c>
      <c r="L415" t="s">
        <v>47</v>
      </c>
      <c r="M415" t="s">
        <v>84</v>
      </c>
      <c r="N415" t="str">
        <f t="shared" si="6"/>
        <v/>
      </c>
      <c r="O415" t="s">
        <v>896</v>
      </c>
    </row>
    <row r="416" spans="1:15" x14ac:dyDescent="0.35">
      <c r="A416">
        <v>5004</v>
      </c>
      <c r="B416" t="s">
        <v>129</v>
      </c>
      <c r="C416" t="str">
        <f>IFERROR(VLOOKUP(B416,Branches!A:B, 2, FALSE), B416&amp;"(NOT FOUND)")</f>
        <v>Sabon Gari Branch</v>
      </c>
      <c r="D416" s="1">
        <v>45506</v>
      </c>
      <c r="E416" t="s">
        <v>51</v>
      </c>
      <c r="F416" t="str">
        <f>IFERROR(VLOOKUP(E416, Staff!A:B, 2, FALSE), E416&amp;" (NOT FOUND)")</f>
        <v>Halima Yusuf</v>
      </c>
      <c r="G416" t="s">
        <v>35</v>
      </c>
      <c r="H416" t="s">
        <v>155</v>
      </c>
      <c r="I416">
        <v>5</v>
      </c>
      <c r="J416" t="s">
        <v>894</v>
      </c>
      <c r="K416">
        <v>0</v>
      </c>
      <c r="L416" t="s">
        <v>20</v>
      </c>
      <c r="M416" t="s">
        <v>38</v>
      </c>
      <c r="N416" t="str">
        <f t="shared" si="6"/>
        <v/>
      </c>
      <c r="O416" t="s">
        <v>896</v>
      </c>
    </row>
    <row r="417" spans="1:15" x14ac:dyDescent="0.35">
      <c r="A417">
        <v>5463</v>
      </c>
      <c r="B417" t="s">
        <v>88</v>
      </c>
      <c r="C417" t="str">
        <f>IFERROR(VLOOKUP(B417,Branches!A:B, 2, FALSE), B417&amp;"(NOT FOUND)")</f>
        <v>Lekki Branch</v>
      </c>
      <c r="D417" s="1">
        <v>45409</v>
      </c>
      <c r="E417" t="s">
        <v>15</v>
      </c>
      <c r="F417" t="str">
        <f>IFERROR(VLOOKUP(E417, Staff!A:B, 2, FALSE), E417&amp;" (NOT FOUND)")</f>
        <v>Ibrahim Sani</v>
      </c>
      <c r="G417" t="s">
        <v>16</v>
      </c>
      <c r="H417" t="s">
        <v>170</v>
      </c>
      <c r="I417">
        <v>2</v>
      </c>
      <c r="J417" t="s">
        <v>894</v>
      </c>
      <c r="K417">
        <v>5</v>
      </c>
      <c r="L417" t="s">
        <v>20</v>
      </c>
      <c r="M417" t="s">
        <v>84</v>
      </c>
      <c r="N417" t="str">
        <f t="shared" si="6"/>
        <v/>
      </c>
      <c r="O417" t="s">
        <v>895</v>
      </c>
    </row>
    <row r="418" spans="1:15" x14ac:dyDescent="0.35">
      <c r="A418">
        <v>5361</v>
      </c>
      <c r="B418" t="s">
        <v>149</v>
      </c>
      <c r="C418" t="str">
        <f>IFERROR(VLOOKUP(B418,Branches!A:B, 2, FALSE), B418&amp;"(NOT FOUND)")</f>
        <v>BR09(NOT FOUND)</v>
      </c>
      <c r="D418" s="1">
        <v>45627</v>
      </c>
      <c r="E418" t="s">
        <v>108</v>
      </c>
      <c r="F418" t="str">
        <f>IFERROR(VLOOKUP(E418, Staff!A:B, 2, FALSE), E418&amp;" (NOT FOUND)")</f>
        <v>Ronke Bakare</v>
      </c>
      <c r="G418" t="s">
        <v>35</v>
      </c>
      <c r="H418" t="s">
        <v>58</v>
      </c>
      <c r="J418" t="s">
        <v>894</v>
      </c>
      <c r="K418">
        <v>0</v>
      </c>
      <c r="L418" t="s">
        <v>47</v>
      </c>
      <c r="M418" t="s">
        <v>38</v>
      </c>
      <c r="N418" t="str">
        <f t="shared" si="6"/>
        <v/>
      </c>
      <c r="O418" t="s">
        <v>896</v>
      </c>
    </row>
    <row r="419" spans="1:15" x14ac:dyDescent="0.35">
      <c r="A419">
        <v>5298</v>
      </c>
      <c r="B419" t="s">
        <v>129</v>
      </c>
      <c r="C419" t="str">
        <f>IFERROR(VLOOKUP(B419,Branches!A:B, 2, FALSE), B419&amp;"(NOT FOUND)")</f>
        <v>Sabon Gari Branch</v>
      </c>
      <c r="D419" s="1">
        <v>45449</v>
      </c>
      <c r="E419" t="s">
        <v>86</v>
      </c>
      <c r="F419" t="str">
        <f>IFERROR(VLOOKUP(E419, Staff!A:B, 2, FALSE), E419&amp;" (NOT FOUND)")</f>
        <v>Ekene Obi</v>
      </c>
      <c r="G419" t="s">
        <v>16</v>
      </c>
      <c r="H419" t="s">
        <v>17</v>
      </c>
      <c r="I419">
        <v>5</v>
      </c>
      <c r="J419">
        <v>34123.61</v>
      </c>
      <c r="K419" t="s">
        <v>894</v>
      </c>
      <c r="L419" t="s">
        <v>20</v>
      </c>
      <c r="M419" t="s">
        <v>84</v>
      </c>
      <c r="N419">
        <f t="shared" si="6"/>
        <v>170618.05</v>
      </c>
      <c r="O419" t="s">
        <v>896</v>
      </c>
    </row>
    <row r="420" spans="1:15" x14ac:dyDescent="0.35">
      <c r="A420">
        <v>5094</v>
      </c>
      <c r="B420" t="s">
        <v>32</v>
      </c>
      <c r="C420" t="str">
        <f>IFERROR(VLOOKUP(B420,Branches!A:B, 2, FALSE), B420&amp;"(NOT FOUND)")</f>
        <v>Wuse Branch</v>
      </c>
      <c r="D420" s="1">
        <v>45356</v>
      </c>
      <c r="E420" t="s">
        <v>86</v>
      </c>
      <c r="F420" t="str">
        <f>IFERROR(VLOOKUP(E420, Staff!A:B, 2, FALSE), E420&amp;" (NOT FOUND)")</f>
        <v>Ekene Obi</v>
      </c>
      <c r="G420" t="s">
        <v>26</v>
      </c>
      <c r="H420" t="s">
        <v>112</v>
      </c>
      <c r="I420">
        <v>2</v>
      </c>
      <c r="J420" t="s">
        <v>894</v>
      </c>
      <c r="K420">
        <v>15</v>
      </c>
      <c r="L420" t="s">
        <v>47</v>
      </c>
      <c r="M420" t="s">
        <v>84</v>
      </c>
      <c r="N420" t="str">
        <f t="shared" si="6"/>
        <v/>
      </c>
      <c r="O420" t="s">
        <v>896</v>
      </c>
    </row>
    <row r="421" spans="1:15" x14ac:dyDescent="0.35">
      <c r="A421">
        <v>5074</v>
      </c>
      <c r="B421" t="s">
        <v>32</v>
      </c>
      <c r="C421" t="str">
        <f>IFERROR(VLOOKUP(B421,Branches!A:B, 2, FALSE), B421&amp;"(NOT FOUND)")</f>
        <v>Wuse Branch</v>
      </c>
      <c r="D421" s="1">
        <v>45419</v>
      </c>
      <c r="E421" t="s">
        <v>34</v>
      </c>
      <c r="F421" t="str">
        <f>IFERROR(VLOOKUP(E421, Staff!A:B, 2, FALSE), E421&amp;" (NOT FOUND)")</f>
        <v>Funke Ajayi</v>
      </c>
      <c r="G421" t="s">
        <v>16</v>
      </c>
      <c r="H421" t="s">
        <v>170</v>
      </c>
      <c r="I421">
        <v>5</v>
      </c>
      <c r="J421" t="s">
        <v>894</v>
      </c>
      <c r="K421" t="s">
        <v>894</v>
      </c>
      <c r="L421" t="s">
        <v>20</v>
      </c>
      <c r="M421" t="s">
        <v>84</v>
      </c>
      <c r="N421" t="str">
        <f t="shared" si="6"/>
        <v/>
      </c>
      <c r="O421" t="s">
        <v>895</v>
      </c>
    </row>
    <row r="422" spans="1:15" x14ac:dyDescent="0.35">
      <c r="A422">
        <v>5346</v>
      </c>
      <c r="B422" t="s">
        <v>88</v>
      </c>
      <c r="C422" t="str">
        <f>IFERROR(VLOOKUP(B422,Branches!A:B, 2, FALSE), B422&amp;"(NOT FOUND)")</f>
        <v>Lekki Branch</v>
      </c>
      <c r="D422" s="1">
        <v>45476</v>
      </c>
      <c r="E422" t="s">
        <v>86</v>
      </c>
      <c r="F422" t="str">
        <f>IFERROR(VLOOKUP(E422, Staff!A:B, 2, FALSE), E422&amp;" (NOT FOUND)")</f>
        <v>Ekene Obi</v>
      </c>
      <c r="G422" t="s">
        <v>35</v>
      </c>
      <c r="H422" t="s">
        <v>99</v>
      </c>
      <c r="J422">
        <v>11883.52</v>
      </c>
      <c r="K422">
        <v>0</v>
      </c>
      <c r="L422" t="s">
        <v>20</v>
      </c>
      <c r="M422" t="s">
        <v>38</v>
      </c>
      <c r="N422" t="str">
        <f t="shared" si="6"/>
        <v/>
      </c>
      <c r="O422" t="s">
        <v>895</v>
      </c>
    </row>
    <row r="423" spans="1:15" x14ac:dyDescent="0.35">
      <c r="A423">
        <v>5175</v>
      </c>
      <c r="B423" t="s">
        <v>49</v>
      </c>
      <c r="C423" t="str">
        <f>IFERROR(VLOOKUP(B423,Branches!A:B, 2, FALSE), B423&amp;"(NOT FOUND)")</f>
        <v>BRXX(NOT FOUND)</v>
      </c>
      <c r="D423" s="1">
        <v>45509</v>
      </c>
      <c r="E423" t="s">
        <v>76</v>
      </c>
      <c r="F423" t="str">
        <f>IFERROR(VLOOKUP(E423, Staff!A:B, 2, FALSE), E423&amp;" (NOT FOUND)")</f>
        <v>Chika Nwankwo</v>
      </c>
      <c r="G423" t="s">
        <v>26</v>
      </c>
      <c r="H423" t="s">
        <v>167</v>
      </c>
      <c r="I423">
        <v>3</v>
      </c>
      <c r="J423">
        <v>8744.4599999999991</v>
      </c>
      <c r="K423" t="s">
        <v>894</v>
      </c>
      <c r="L423" t="s">
        <v>60</v>
      </c>
      <c r="M423" t="s">
        <v>84</v>
      </c>
      <c r="N423">
        <f t="shared" si="6"/>
        <v>26233.379999999997</v>
      </c>
      <c r="O423" t="s">
        <v>896</v>
      </c>
    </row>
    <row r="424" spans="1:15" x14ac:dyDescent="0.35">
      <c r="A424">
        <v>5211</v>
      </c>
      <c r="B424" t="s">
        <v>129</v>
      </c>
      <c r="C424" t="str">
        <f>IFERROR(VLOOKUP(B424,Branches!A:B, 2, FALSE), B424&amp;"(NOT FOUND)")</f>
        <v>Sabon Gari Branch</v>
      </c>
      <c r="D424" s="1">
        <v>45364</v>
      </c>
      <c r="E424" t="s">
        <v>34</v>
      </c>
      <c r="F424" t="str">
        <f>IFERROR(VLOOKUP(E424, Staff!A:B, 2, FALSE), E424&amp;" (NOT FOUND)")</f>
        <v>Funke Ajayi</v>
      </c>
      <c r="G424" t="s">
        <v>64</v>
      </c>
      <c r="H424" t="s">
        <v>65</v>
      </c>
      <c r="I424">
        <v>2</v>
      </c>
      <c r="J424" t="s">
        <v>894</v>
      </c>
      <c r="K424" t="s">
        <v>894</v>
      </c>
      <c r="L424" t="s">
        <v>60</v>
      </c>
      <c r="M424" t="s">
        <v>84</v>
      </c>
      <c r="N424" t="str">
        <f t="shared" si="6"/>
        <v/>
      </c>
      <c r="O424" t="s">
        <v>896</v>
      </c>
    </row>
    <row r="425" spans="1:15" x14ac:dyDescent="0.35">
      <c r="A425">
        <v>5415</v>
      </c>
      <c r="B425" t="s">
        <v>102</v>
      </c>
      <c r="C425" t="str">
        <f>IFERROR(VLOOKUP(B425,Branches!A:B, 2, FALSE), B425&amp;"(NOT FOUND)")</f>
        <v>GRA Branch</v>
      </c>
      <c r="D425" s="1">
        <v>45444</v>
      </c>
      <c r="E425" t="s">
        <v>86</v>
      </c>
      <c r="F425" t="str">
        <f>IFERROR(VLOOKUP(E425, Staff!A:B, 2, FALSE), E425&amp;" (NOT FOUND)")</f>
        <v>Ekene Obi</v>
      </c>
      <c r="G425" t="s">
        <v>64</v>
      </c>
      <c r="H425" t="s">
        <v>65</v>
      </c>
      <c r="I425">
        <v>3</v>
      </c>
      <c r="J425">
        <v>25466.75</v>
      </c>
      <c r="K425" t="s">
        <v>894</v>
      </c>
      <c r="L425" t="s">
        <v>60</v>
      </c>
      <c r="M425" t="s">
        <v>38</v>
      </c>
      <c r="N425">
        <f t="shared" si="6"/>
        <v>76400.25</v>
      </c>
      <c r="O425" t="s">
        <v>894</v>
      </c>
    </row>
    <row r="426" spans="1:15" x14ac:dyDescent="0.35">
      <c r="A426">
        <v>5477</v>
      </c>
      <c r="B426" t="s">
        <v>32</v>
      </c>
      <c r="C426" t="str">
        <f>IFERROR(VLOOKUP(B426,Branches!A:B, 2, FALSE), B426&amp;"(NOT FOUND)")</f>
        <v>Wuse Branch</v>
      </c>
      <c r="D426" s="1">
        <v>45416</v>
      </c>
      <c r="E426" t="s">
        <v>51</v>
      </c>
      <c r="F426" t="str">
        <f>IFERROR(VLOOKUP(E426, Staff!A:B, 2, FALSE), E426&amp;" (NOT FOUND)")</f>
        <v>Halima Yusuf</v>
      </c>
      <c r="G426" t="s">
        <v>26</v>
      </c>
      <c r="H426" t="s">
        <v>52</v>
      </c>
      <c r="J426">
        <v>12021.85</v>
      </c>
      <c r="K426">
        <v>15</v>
      </c>
      <c r="L426" t="s">
        <v>20</v>
      </c>
      <c r="M426" t="s">
        <v>84</v>
      </c>
      <c r="N426" t="str">
        <f t="shared" si="6"/>
        <v/>
      </c>
      <c r="O426" t="s">
        <v>895</v>
      </c>
    </row>
    <row r="427" spans="1:15" x14ac:dyDescent="0.35">
      <c r="A427">
        <v>5138</v>
      </c>
      <c r="B427" t="s">
        <v>102</v>
      </c>
      <c r="C427" t="str">
        <f>IFERROR(VLOOKUP(B427,Branches!A:B, 2, FALSE), B427&amp;"(NOT FOUND)")</f>
        <v>GRA Branch</v>
      </c>
      <c r="D427" s="1">
        <v>45505</v>
      </c>
      <c r="E427" t="s">
        <v>108</v>
      </c>
      <c r="F427" t="str">
        <f>IFERROR(VLOOKUP(E427, Staff!A:B, 2, FALSE), E427&amp;" (NOT FOUND)")</f>
        <v>Ronke Bakare</v>
      </c>
      <c r="G427" t="s">
        <v>64</v>
      </c>
      <c r="H427" t="s">
        <v>65</v>
      </c>
      <c r="I427">
        <v>1</v>
      </c>
      <c r="J427">
        <v>692.41</v>
      </c>
      <c r="K427">
        <v>15</v>
      </c>
      <c r="L427" t="s">
        <v>60</v>
      </c>
      <c r="M427" t="s">
        <v>84</v>
      </c>
      <c r="N427">
        <f t="shared" si="6"/>
        <v>588.54849999999999</v>
      </c>
      <c r="O427" t="s">
        <v>896</v>
      </c>
    </row>
    <row r="428" spans="1:15" x14ac:dyDescent="0.35">
      <c r="A428">
        <v>5459</v>
      </c>
      <c r="B428" t="s">
        <v>88</v>
      </c>
      <c r="C428" t="str">
        <f>IFERROR(VLOOKUP(B428,Branches!A:B, 2, FALSE), B428&amp;"(NOT FOUND)")</f>
        <v>Lekki Branch</v>
      </c>
      <c r="D428" s="1">
        <v>45304</v>
      </c>
      <c r="E428" t="s">
        <v>34</v>
      </c>
      <c r="F428" t="str">
        <f>IFERROR(VLOOKUP(E428, Staff!A:B, 2, FALSE), E428&amp;" (NOT FOUND)")</f>
        <v>Funke Ajayi</v>
      </c>
      <c r="G428" t="s">
        <v>64</v>
      </c>
      <c r="H428" t="s">
        <v>133</v>
      </c>
      <c r="J428">
        <v>42636.63</v>
      </c>
      <c r="K428" t="s">
        <v>894</v>
      </c>
      <c r="L428" t="s">
        <v>20</v>
      </c>
      <c r="M428" t="s">
        <v>38</v>
      </c>
      <c r="N428" t="str">
        <f t="shared" si="6"/>
        <v/>
      </c>
      <c r="O428" t="s">
        <v>895</v>
      </c>
    </row>
    <row r="429" spans="1:15" x14ac:dyDescent="0.35">
      <c r="A429">
        <v>5414</v>
      </c>
      <c r="B429" t="s">
        <v>129</v>
      </c>
      <c r="C429" t="str">
        <f>IFERROR(VLOOKUP(B429,Branches!A:B, 2, FALSE), B429&amp;"(NOT FOUND)")</f>
        <v>Sabon Gari Branch</v>
      </c>
      <c r="D429" s="1">
        <v>45519</v>
      </c>
      <c r="E429" t="s">
        <v>34</v>
      </c>
      <c r="F429" t="str">
        <f>IFERROR(VLOOKUP(E429, Staff!A:B, 2, FALSE), E429&amp;" (NOT FOUND)")</f>
        <v>Funke Ajayi</v>
      </c>
      <c r="G429" t="s">
        <v>64</v>
      </c>
      <c r="H429" t="s">
        <v>141</v>
      </c>
      <c r="J429" t="s">
        <v>894</v>
      </c>
      <c r="K429">
        <v>5</v>
      </c>
      <c r="L429" t="s">
        <v>47</v>
      </c>
      <c r="M429" t="s">
        <v>38</v>
      </c>
      <c r="N429" t="str">
        <f t="shared" si="6"/>
        <v/>
      </c>
      <c r="O429" t="s">
        <v>896</v>
      </c>
    </row>
    <row r="430" spans="1:15" x14ac:dyDescent="0.35">
      <c r="A430">
        <v>5492</v>
      </c>
      <c r="B430" t="s">
        <v>129</v>
      </c>
      <c r="C430" t="str">
        <f>IFERROR(VLOOKUP(B430,Branches!A:B, 2, FALSE), B430&amp;"(NOT FOUND)")</f>
        <v>Sabon Gari Branch</v>
      </c>
      <c r="D430" s="1">
        <v>45485</v>
      </c>
      <c r="E430" t="s">
        <v>34</v>
      </c>
      <c r="F430" t="str">
        <f>IFERROR(VLOOKUP(E430, Staff!A:B, 2, FALSE), E430&amp;" (NOT FOUND)")</f>
        <v>Funke Ajayi</v>
      </c>
      <c r="G430" t="s">
        <v>16</v>
      </c>
      <c r="H430" t="s">
        <v>109</v>
      </c>
      <c r="I430">
        <v>2</v>
      </c>
      <c r="J430">
        <v>40049.31</v>
      </c>
      <c r="K430">
        <v>0</v>
      </c>
      <c r="L430" t="s">
        <v>60</v>
      </c>
      <c r="M430" t="s">
        <v>38</v>
      </c>
      <c r="N430">
        <f t="shared" si="6"/>
        <v>80098.62</v>
      </c>
      <c r="O430" t="s">
        <v>896</v>
      </c>
    </row>
    <row r="431" spans="1:15" x14ac:dyDescent="0.35">
      <c r="A431">
        <v>5362</v>
      </c>
      <c r="B431" t="s">
        <v>88</v>
      </c>
      <c r="C431" t="str">
        <f>IFERROR(VLOOKUP(B431,Branches!A:B, 2, FALSE), B431&amp;"(NOT FOUND)")</f>
        <v>Lekki Branch</v>
      </c>
      <c r="D431" s="1">
        <v>45408</v>
      </c>
      <c r="E431" t="s">
        <v>34</v>
      </c>
      <c r="F431" t="str">
        <f>IFERROR(VLOOKUP(E431, Staff!A:B, 2, FALSE), E431&amp;" (NOT FOUND)")</f>
        <v>Funke Ajayi</v>
      </c>
      <c r="G431" t="s">
        <v>64</v>
      </c>
      <c r="H431" t="s">
        <v>133</v>
      </c>
      <c r="I431">
        <v>4</v>
      </c>
      <c r="J431">
        <v>27329.66</v>
      </c>
      <c r="K431" t="s">
        <v>894</v>
      </c>
      <c r="L431" t="s">
        <v>20</v>
      </c>
      <c r="M431" t="s">
        <v>84</v>
      </c>
      <c r="N431">
        <f t="shared" si="6"/>
        <v>109318.64</v>
      </c>
      <c r="O431" t="s">
        <v>895</v>
      </c>
    </row>
    <row r="432" spans="1:15" x14ac:dyDescent="0.35">
      <c r="A432">
        <v>5099</v>
      </c>
      <c r="B432" t="s">
        <v>32</v>
      </c>
      <c r="C432" t="str">
        <f>IFERROR(VLOOKUP(B432,Branches!A:B, 2, FALSE), B432&amp;"(NOT FOUND)")</f>
        <v>Wuse Branch</v>
      </c>
      <c r="D432" s="1">
        <v>45330</v>
      </c>
      <c r="E432" t="s">
        <v>76</v>
      </c>
      <c r="F432" t="str">
        <f>IFERROR(VLOOKUP(E432, Staff!A:B, 2, FALSE), E432&amp;" (NOT FOUND)")</f>
        <v>Chika Nwankwo</v>
      </c>
      <c r="G432" t="s">
        <v>35</v>
      </c>
      <c r="H432" t="s">
        <v>36</v>
      </c>
      <c r="I432">
        <v>5</v>
      </c>
      <c r="J432" t="s">
        <v>894</v>
      </c>
      <c r="K432">
        <v>0</v>
      </c>
      <c r="L432" t="s">
        <v>60</v>
      </c>
      <c r="M432" t="s">
        <v>84</v>
      </c>
      <c r="N432" t="str">
        <f t="shared" si="6"/>
        <v/>
      </c>
      <c r="O432" t="s">
        <v>895</v>
      </c>
    </row>
    <row r="433" spans="1:15" x14ac:dyDescent="0.35">
      <c r="A433">
        <v>5085</v>
      </c>
      <c r="B433" t="s">
        <v>88</v>
      </c>
      <c r="C433" t="str">
        <f>IFERROR(VLOOKUP(B433,Branches!A:B, 2, FALSE), B433&amp;"(NOT FOUND)")</f>
        <v>Lekki Branch</v>
      </c>
      <c r="D433" s="1">
        <v>45309</v>
      </c>
      <c r="E433" t="s">
        <v>76</v>
      </c>
      <c r="F433" t="str">
        <f>IFERROR(VLOOKUP(E433, Staff!A:B, 2, FALSE), E433&amp;" (NOT FOUND)")</f>
        <v>Chika Nwankwo</v>
      </c>
      <c r="G433" t="s">
        <v>64</v>
      </c>
      <c r="H433" t="s">
        <v>65</v>
      </c>
      <c r="I433">
        <v>4</v>
      </c>
      <c r="J433" t="s">
        <v>894</v>
      </c>
      <c r="K433" t="s">
        <v>894</v>
      </c>
      <c r="L433" t="s">
        <v>47</v>
      </c>
      <c r="M433" t="s">
        <v>84</v>
      </c>
      <c r="N433" t="str">
        <f t="shared" si="6"/>
        <v/>
      </c>
      <c r="O433" t="s">
        <v>896</v>
      </c>
    </row>
    <row r="434" spans="1:15" x14ac:dyDescent="0.35">
      <c r="A434">
        <v>5398</v>
      </c>
      <c r="B434" t="s">
        <v>32</v>
      </c>
      <c r="C434" t="str">
        <f>IFERROR(VLOOKUP(B434,Branches!A:B, 2, FALSE), B434&amp;"(NOT FOUND)")</f>
        <v>Wuse Branch</v>
      </c>
      <c r="D434" s="1">
        <v>45469</v>
      </c>
      <c r="E434" t="s">
        <v>57</v>
      </c>
      <c r="F434" t="str">
        <f>IFERROR(VLOOKUP(E434, Staff!A:B, 2, FALSE), E434&amp;" (NOT FOUND)")</f>
        <v>Kelechi Umeh</v>
      </c>
      <c r="G434" t="s">
        <v>35</v>
      </c>
      <c r="H434" t="s">
        <v>136</v>
      </c>
      <c r="I434">
        <v>3</v>
      </c>
      <c r="J434">
        <v>27847.16</v>
      </c>
      <c r="K434">
        <v>5</v>
      </c>
      <c r="L434" t="s">
        <v>60</v>
      </c>
      <c r="M434" t="s">
        <v>84</v>
      </c>
      <c r="N434">
        <f t="shared" si="6"/>
        <v>79364.405999999988</v>
      </c>
      <c r="O434" t="s">
        <v>895</v>
      </c>
    </row>
    <row r="435" spans="1:15" x14ac:dyDescent="0.35">
      <c r="A435">
        <v>5280</v>
      </c>
      <c r="B435" t="s">
        <v>74</v>
      </c>
      <c r="C435" t="str">
        <f>IFERROR(VLOOKUP(B435,Branches!A:B, 2, FALSE), B435&amp;"(NOT FOUND)")</f>
        <v>Bodija Branch</v>
      </c>
      <c r="D435" s="1">
        <v>45560</v>
      </c>
      <c r="E435" t="s">
        <v>15</v>
      </c>
      <c r="F435" t="str">
        <f>IFERROR(VLOOKUP(E435, Staff!A:B, 2, FALSE), E435&amp;" (NOT FOUND)")</f>
        <v>Ibrahim Sani</v>
      </c>
      <c r="G435" t="s">
        <v>35</v>
      </c>
      <c r="H435" t="s">
        <v>99</v>
      </c>
      <c r="I435">
        <v>3</v>
      </c>
      <c r="J435">
        <v>25879.02</v>
      </c>
      <c r="K435" t="s">
        <v>894</v>
      </c>
      <c r="L435" t="s">
        <v>47</v>
      </c>
      <c r="M435" t="s">
        <v>84</v>
      </c>
      <c r="N435">
        <f t="shared" si="6"/>
        <v>77637.06</v>
      </c>
      <c r="O435" t="s">
        <v>895</v>
      </c>
    </row>
    <row r="436" spans="1:15" x14ac:dyDescent="0.35">
      <c r="A436">
        <v>5083</v>
      </c>
      <c r="B436" t="s">
        <v>102</v>
      </c>
      <c r="C436" t="str">
        <f>IFERROR(VLOOKUP(B436,Branches!A:B, 2, FALSE), B436&amp;"(NOT FOUND)")</f>
        <v>GRA Branch</v>
      </c>
      <c r="D436" s="1">
        <v>45425</v>
      </c>
      <c r="E436" t="s">
        <v>86</v>
      </c>
      <c r="F436" t="str">
        <f>IFERROR(VLOOKUP(E436, Staff!A:B, 2, FALSE), E436&amp;" (NOT FOUND)")</f>
        <v>Ekene Obi</v>
      </c>
      <c r="G436" t="s">
        <v>64</v>
      </c>
      <c r="H436" t="s">
        <v>133</v>
      </c>
      <c r="J436">
        <v>22341.62</v>
      </c>
      <c r="K436">
        <v>15</v>
      </c>
      <c r="L436" t="s">
        <v>47</v>
      </c>
      <c r="M436" t="s">
        <v>84</v>
      </c>
      <c r="N436" t="str">
        <f t="shared" si="6"/>
        <v/>
      </c>
      <c r="O436" t="s">
        <v>896</v>
      </c>
    </row>
    <row r="437" spans="1:15" x14ac:dyDescent="0.35">
      <c r="A437">
        <v>5348</v>
      </c>
      <c r="B437" t="s">
        <v>32</v>
      </c>
      <c r="C437" t="str">
        <f>IFERROR(VLOOKUP(B437,Branches!A:B, 2, FALSE), B437&amp;"(NOT FOUND)")</f>
        <v>Wuse Branch</v>
      </c>
      <c r="D437" s="1">
        <v>45417</v>
      </c>
      <c r="E437" t="s">
        <v>108</v>
      </c>
      <c r="F437" t="str">
        <f>IFERROR(VLOOKUP(E437, Staff!A:B, 2, FALSE), E437&amp;" (NOT FOUND)")</f>
        <v>Ronke Bakare</v>
      </c>
      <c r="G437" t="s">
        <v>64</v>
      </c>
      <c r="H437" t="s">
        <v>77</v>
      </c>
      <c r="I437">
        <v>2</v>
      </c>
      <c r="J437">
        <v>43851.839999999997</v>
      </c>
      <c r="K437">
        <v>0</v>
      </c>
      <c r="L437" t="s">
        <v>47</v>
      </c>
      <c r="M437" t="s">
        <v>38</v>
      </c>
      <c r="N437">
        <f t="shared" si="6"/>
        <v>87703.679999999993</v>
      </c>
      <c r="O437" t="s">
        <v>895</v>
      </c>
    </row>
    <row r="438" spans="1:15" x14ac:dyDescent="0.35">
      <c r="A438">
        <v>5064</v>
      </c>
      <c r="B438" t="s">
        <v>129</v>
      </c>
      <c r="C438" t="str">
        <f>IFERROR(VLOOKUP(B438,Branches!A:B, 2, FALSE), B438&amp;"(NOT FOUND)")</f>
        <v>Sabon Gari Branch</v>
      </c>
      <c r="D438" s="1">
        <v>45488</v>
      </c>
      <c r="E438" t="s">
        <v>51</v>
      </c>
      <c r="F438" t="str">
        <f>IFERROR(VLOOKUP(E438, Staff!A:B, 2, FALSE), E438&amp;" (NOT FOUND)")</f>
        <v>Halima Yusuf</v>
      </c>
      <c r="G438" t="s">
        <v>35</v>
      </c>
      <c r="H438" t="s">
        <v>136</v>
      </c>
      <c r="I438">
        <v>2</v>
      </c>
      <c r="J438">
        <v>37398.85</v>
      </c>
      <c r="K438">
        <v>10</v>
      </c>
      <c r="L438" t="s">
        <v>60</v>
      </c>
      <c r="M438" t="s">
        <v>84</v>
      </c>
      <c r="N438">
        <f t="shared" si="6"/>
        <v>67317.929999999993</v>
      </c>
      <c r="O438" t="s">
        <v>896</v>
      </c>
    </row>
    <row r="439" spans="1:15" x14ac:dyDescent="0.35">
      <c r="A439">
        <v>5177</v>
      </c>
      <c r="B439" t="s">
        <v>74</v>
      </c>
      <c r="C439" t="str">
        <f>IFERROR(VLOOKUP(B439,Branches!A:B, 2, FALSE), B439&amp;"(NOT FOUND)")</f>
        <v>Bodija Branch</v>
      </c>
      <c r="D439" s="1">
        <v>45531</v>
      </c>
      <c r="E439" t="s">
        <v>15</v>
      </c>
      <c r="F439" t="str">
        <f>IFERROR(VLOOKUP(E439, Staff!A:B, 2, FALSE), E439&amp;" (NOT FOUND)")</f>
        <v>Ibrahim Sani</v>
      </c>
      <c r="G439" t="s">
        <v>35</v>
      </c>
      <c r="H439" t="s">
        <v>36</v>
      </c>
      <c r="I439">
        <v>5</v>
      </c>
      <c r="J439">
        <v>28295.55</v>
      </c>
      <c r="K439" t="s">
        <v>894</v>
      </c>
      <c r="L439" t="s">
        <v>60</v>
      </c>
      <c r="M439" t="s">
        <v>38</v>
      </c>
      <c r="N439">
        <f t="shared" si="6"/>
        <v>141477.75</v>
      </c>
      <c r="O439" t="s">
        <v>896</v>
      </c>
    </row>
    <row r="440" spans="1:15" x14ac:dyDescent="0.35">
      <c r="A440">
        <v>5448</v>
      </c>
      <c r="B440" t="s">
        <v>129</v>
      </c>
      <c r="C440" t="str">
        <f>IFERROR(VLOOKUP(B440,Branches!A:B, 2, FALSE), B440&amp;"(NOT FOUND)")</f>
        <v>Sabon Gari Branch</v>
      </c>
      <c r="D440" s="1">
        <v>45467</v>
      </c>
      <c r="E440" t="s">
        <v>25</v>
      </c>
      <c r="F440" t="str">
        <f>IFERROR(VLOOKUP(E440, Staff!A:B, 2, FALSE), E440&amp;" (NOT FOUND)")</f>
        <v>Tobi Adewale</v>
      </c>
      <c r="G440" t="s">
        <v>35</v>
      </c>
      <c r="H440" t="s">
        <v>99</v>
      </c>
      <c r="I440">
        <v>3</v>
      </c>
      <c r="J440">
        <v>14620.62</v>
      </c>
      <c r="K440" t="s">
        <v>894</v>
      </c>
      <c r="L440" t="s">
        <v>20</v>
      </c>
      <c r="M440" t="s">
        <v>38</v>
      </c>
      <c r="N440">
        <f t="shared" si="6"/>
        <v>43861.86</v>
      </c>
      <c r="O440" t="s">
        <v>895</v>
      </c>
    </row>
    <row r="441" spans="1:15" x14ac:dyDescent="0.35">
      <c r="A441">
        <v>5076</v>
      </c>
      <c r="B441" t="s">
        <v>32</v>
      </c>
      <c r="C441" t="str">
        <f>IFERROR(VLOOKUP(B441,Branches!A:B, 2, FALSE), B441&amp;"(NOT FOUND)")</f>
        <v>Wuse Branch</v>
      </c>
      <c r="D441" s="1">
        <v>45345</v>
      </c>
      <c r="E441" t="s">
        <v>34</v>
      </c>
      <c r="F441" t="str">
        <f>IFERROR(VLOOKUP(E441, Staff!A:B, 2, FALSE), E441&amp;" (NOT FOUND)")</f>
        <v>Funke Ajayi</v>
      </c>
      <c r="G441" t="s">
        <v>16</v>
      </c>
      <c r="H441" t="s">
        <v>17</v>
      </c>
      <c r="I441">
        <v>1</v>
      </c>
      <c r="J441" t="s">
        <v>894</v>
      </c>
      <c r="K441">
        <v>10</v>
      </c>
      <c r="L441" t="s">
        <v>60</v>
      </c>
      <c r="M441" t="s">
        <v>38</v>
      </c>
      <c r="N441" t="str">
        <f t="shared" si="6"/>
        <v/>
      </c>
      <c r="O441" t="s">
        <v>896</v>
      </c>
    </row>
    <row r="442" spans="1:15" x14ac:dyDescent="0.35">
      <c r="A442">
        <v>5309</v>
      </c>
      <c r="B442" t="s">
        <v>129</v>
      </c>
      <c r="C442" t="str">
        <f>IFERROR(VLOOKUP(B442,Branches!A:B, 2, FALSE), B442&amp;"(NOT FOUND)")</f>
        <v>Sabon Gari Branch</v>
      </c>
      <c r="D442" s="1">
        <v>45540</v>
      </c>
      <c r="E442" t="s">
        <v>86</v>
      </c>
      <c r="F442" t="str">
        <f>IFERROR(VLOOKUP(E442, Staff!A:B, 2, FALSE), E442&amp;" (NOT FOUND)")</f>
        <v>Ekene Obi</v>
      </c>
      <c r="G442" t="s">
        <v>26</v>
      </c>
      <c r="H442" t="s">
        <v>167</v>
      </c>
      <c r="I442">
        <v>5</v>
      </c>
      <c r="J442">
        <v>14552.66</v>
      </c>
      <c r="K442">
        <v>15</v>
      </c>
      <c r="L442" t="s">
        <v>60</v>
      </c>
      <c r="M442" t="s">
        <v>84</v>
      </c>
      <c r="N442">
        <f t="shared" si="6"/>
        <v>61848.805000000008</v>
      </c>
      <c r="O442" t="s">
        <v>895</v>
      </c>
    </row>
    <row r="443" spans="1:15" x14ac:dyDescent="0.35">
      <c r="A443">
        <v>5467</v>
      </c>
      <c r="B443" t="s">
        <v>129</v>
      </c>
      <c r="C443" t="str">
        <f>IFERROR(VLOOKUP(B443,Branches!A:B, 2, FALSE), B443&amp;"(NOT FOUND)")</f>
        <v>Sabon Gari Branch</v>
      </c>
      <c r="D443" s="1">
        <v>45531</v>
      </c>
      <c r="E443" t="s">
        <v>57</v>
      </c>
      <c r="F443" t="str">
        <f>IFERROR(VLOOKUP(E443, Staff!A:B, 2, FALSE), E443&amp;" (NOT FOUND)")</f>
        <v>Kelechi Umeh</v>
      </c>
      <c r="G443" t="s">
        <v>35</v>
      </c>
      <c r="H443" t="s">
        <v>58</v>
      </c>
      <c r="I443">
        <v>3</v>
      </c>
      <c r="J443" t="s">
        <v>894</v>
      </c>
      <c r="K443">
        <v>5</v>
      </c>
      <c r="L443" t="s">
        <v>60</v>
      </c>
      <c r="M443" t="s">
        <v>84</v>
      </c>
      <c r="N443" t="str">
        <f t="shared" si="6"/>
        <v/>
      </c>
      <c r="O443" t="s">
        <v>895</v>
      </c>
    </row>
    <row r="444" spans="1:15" x14ac:dyDescent="0.35">
      <c r="A444">
        <v>5428</v>
      </c>
      <c r="B444" t="s">
        <v>102</v>
      </c>
      <c r="C444" t="str">
        <f>IFERROR(VLOOKUP(B444,Branches!A:B, 2, FALSE), B444&amp;"(NOT FOUND)")</f>
        <v>GRA Branch</v>
      </c>
      <c r="D444" s="1">
        <v>45554</v>
      </c>
      <c r="E444" t="s">
        <v>76</v>
      </c>
      <c r="F444" t="str">
        <f>IFERROR(VLOOKUP(E444, Staff!A:B, 2, FALSE), E444&amp;" (NOT FOUND)")</f>
        <v>Chika Nwankwo</v>
      </c>
      <c r="G444" t="s">
        <v>16</v>
      </c>
      <c r="H444" t="s">
        <v>17</v>
      </c>
      <c r="J444">
        <v>39343.33</v>
      </c>
      <c r="K444">
        <v>15</v>
      </c>
      <c r="L444" t="s">
        <v>60</v>
      </c>
      <c r="M444" t="s">
        <v>38</v>
      </c>
      <c r="N444" t="str">
        <f t="shared" si="6"/>
        <v/>
      </c>
      <c r="O444" t="s">
        <v>896</v>
      </c>
    </row>
    <row r="445" spans="1:15" x14ac:dyDescent="0.35">
      <c r="A445">
        <v>5267</v>
      </c>
      <c r="B445" t="s">
        <v>32</v>
      </c>
      <c r="C445" t="str">
        <f>IFERROR(VLOOKUP(B445,Branches!A:B, 2, FALSE), B445&amp;"(NOT FOUND)")</f>
        <v>Wuse Branch</v>
      </c>
      <c r="D445" s="1">
        <v>45406</v>
      </c>
      <c r="E445" t="s">
        <v>51</v>
      </c>
      <c r="F445" t="str">
        <f>IFERROR(VLOOKUP(E445, Staff!A:B, 2, FALSE), E445&amp;" (NOT FOUND)")</f>
        <v>Halima Yusuf</v>
      </c>
      <c r="G445" t="s">
        <v>64</v>
      </c>
      <c r="H445" t="s">
        <v>141</v>
      </c>
      <c r="I445">
        <v>2</v>
      </c>
      <c r="J445">
        <v>21921.919999999998</v>
      </c>
      <c r="K445">
        <v>15</v>
      </c>
      <c r="L445" t="s">
        <v>47</v>
      </c>
      <c r="M445" t="s">
        <v>84</v>
      </c>
      <c r="N445">
        <f t="shared" si="6"/>
        <v>37267.263999999996</v>
      </c>
      <c r="O445" t="s">
        <v>896</v>
      </c>
    </row>
    <row r="446" spans="1:15" x14ac:dyDescent="0.35">
      <c r="A446">
        <v>5232</v>
      </c>
      <c r="B446" t="s">
        <v>32</v>
      </c>
      <c r="C446" t="str">
        <f>IFERROR(VLOOKUP(B446,Branches!A:B, 2, FALSE), B446&amp;"(NOT FOUND)")</f>
        <v>Wuse Branch</v>
      </c>
      <c r="D446" s="1">
        <v>45381</v>
      </c>
      <c r="E446" t="s">
        <v>57</v>
      </c>
      <c r="F446" t="str">
        <f>IFERROR(VLOOKUP(E446, Staff!A:B, 2, FALSE), E446&amp;" (NOT FOUND)")</f>
        <v>Kelechi Umeh</v>
      </c>
      <c r="G446" t="s">
        <v>64</v>
      </c>
      <c r="H446" t="s">
        <v>77</v>
      </c>
      <c r="I446">
        <v>5</v>
      </c>
      <c r="J446">
        <v>35688.11</v>
      </c>
      <c r="K446">
        <v>15</v>
      </c>
      <c r="L446" t="s">
        <v>20</v>
      </c>
      <c r="M446" t="s">
        <v>38</v>
      </c>
      <c r="N446">
        <f t="shared" si="6"/>
        <v>151674.4675</v>
      </c>
      <c r="O446" t="s">
        <v>896</v>
      </c>
    </row>
    <row r="447" spans="1:15" x14ac:dyDescent="0.35">
      <c r="A447">
        <v>5197</v>
      </c>
      <c r="B447" t="s">
        <v>129</v>
      </c>
      <c r="C447" t="str">
        <f>IFERROR(VLOOKUP(B447,Branches!A:B, 2, FALSE), B447&amp;"(NOT FOUND)")</f>
        <v>Sabon Gari Branch</v>
      </c>
      <c r="D447" s="1">
        <v>45429</v>
      </c>
      <c r="E447" t="s">
        <v>34</v>
      </c>
      <c r="F447" t="str">
        <f>IFERROR(VLOOKUP(E447, Staff!A:B, 2, FALSE), E447&amp;" (NOT FOUND)")</f>
        <v>Funke Ajayi</v>
      </c>
      <c r="G447" t="s">
        <v>16</v>
      </c>
      <c r="H447" t="s">
        <v>42</v>
      </c>
      <c r="J447">
        <v>20691.439999999999</v>
      </c>
      <c r="K447" t="s">
        <v>894</v>
      </c>
      <c r="L447" t="s">
        <v>60</v>
      </c>
      <c r="M447" t="s">
        <v>84</v>
      </c>
      <c r="N447" t="str">
        <f t="shared" si="6"/>
        <v/>
      </c>
      <c r="O447" t="s">
        <v>895</v>
      </c>
    </row>
    <row r="448" spans="1:15" x14ac:dyDescent="0.35">
      <c r="A448">
        <v>5019</v>
      </c>
      <c r="B448" t="s">
        <v>88</v>
      </c>
      <c r="C448" t="str">
        <f>IFERROR(VLOOKUP(B448,Branches!A:B, 2, FALSE), B448&amp;"(NOT FOUND)")</f>
        <v>Lekki Branch</v>
      </c>
      <c r="D448" s="1">
        <v>45394</v>
      </c>
      <c r="E448" t="s">
        <v>76</v>
      </c>
      <c r="F448" t="str">
        <f>IFERROR(VLOOKUP(E448, Staff!A:B, 2, FALSE), E448&amp;" (NOT FOUND)")</f>
        <v>Chika Nwankwo</v>
      </c>
      <c r="G448" t="s">
        <v>16</v>
      </c>
      <c r="H448" t="s">
        <v>82</v>
      </c>
      <c r="I448">
        <v>1</v>
      </c>
      <c r="J448" t="s">
        <v>894</v>
      </c>
      <c r="K448">
        <v>0</v>
      </c>
      <c r="L448" t="s">
        <v>20</v>
      </c>
      <c r="M448" t="s">
        <v>84</v>
      </c>
      <c r="N448" t="str">
        <f t="shared" si="6"/>
        <v/>
      </c>
      <c r="O448" t="s">
        <v>896</v>
      </c>
    </row>
    <row r="449" spans="1:15" x14ac:dyDescent="0.35">
      <c r="A449">
        <v>5023</v>
      </c>
      <c r="B449" t="s">
        <v>88</v>
      </c>
      <c r="C449" t="str">
        <f>IFERROR(VLOOKUP(B449,Branches!A:B, 2, FALSE), B449&amp;"(NOT FOUND)")</f>
        <v>Lekki Branch</v>
      </c>
      <c r="D449" s="1">
        <v>45424</v>
      </c>
      <c r="E449" t="s">
        <v>86</v>
      </c>
      <c r="F449" t="str">
        <f>IFERROR(VLOOKUP(E449, Staff!A:B, 2, FALSE), E449&amp;" (NOT FOUND)")</f>
        <v>Ekene Obi</v>
      </c>
      <c r="G449" t="s">
        <v>16</v>
      </c>
      <c r="H449" t="s">
        <v>170</v>
      </c>
      <c r="I449">
        <v>1</v>
      </c>
      <c r="J449">
        <v>40812.49</v>
      </c>
      <c r="K449" t="s">
        <v>894</v>
      </c>
      <c r="L449" t="s">
        <v>60</v>
      </c>
      <c r="M449" t="s">
        <v>84</v>
      </c>
      <c r="N449">
        <f t="shared" si="6"/>
        <v>40812.49</v>
      </c>
      <c r="O449" t="s">
        <v>895</v>
      </c>
    </row>
    <row r="450" spans="1:15" x14ac:dyDescent="0.35">
      <c r="A450">
        <v>5257</v>
      </c>
      <c r="B450" t="s">
        <v>88</v>
      </c>
      <c r="C450" t="str">
        <f>IFERROR(VLOOKUP(B450,Branches!A:B, 2, FALSE), B450&amp;"(NOT FOUND)")</f>
        <v>Lekki Branch</v>
      </c>
      <c r="D450" s="1">
        <v>45551</v>
      </c>
      <c r="E450" t="s">
        <v>25</v>
      </c>
      <c r="F450" t="str">
        <f>IFERROR(VLOOKUP(E450, Staff!A:B, 2, FALSE), E450&amp;" (NOT FOUND)")</f>
        <v>Tobi Adewale</v>
      </c>
      <c r="G450" t="s">
        <v>16</v>
      </c>
      <c r="H450" t="s">
        <v>82</v>
      </c>
      <c r="I450">
        <v>4</v>
      </c>
      <c r="J450" t="s">
        <v>894</v>
      </c>
      <c r="K450" t="s">
        <v>894</v>
      </c>
      <c r="L450" t="s">
        <v>47</v>
      </c>
      <c r="M450" t="s">
        <v>38</v>
      </c>
      <c r="N450" t="str">
        <f t="shared" si="6"/>
        <v/>
      </c>
      <c r="O450" t="s">
        <v>896</v>
      </c>
    </row>
    <row r="451" spans="1:15" x14ac:dyDescent="0.35">
      <c r="A451">
        <v>5318</v>
      </c>
      <c r="B451" t="s">
        <v>74</v>
      </c>
      <c r="C451" t="str">
        <f>IFERROR(VLOOKUP(B451,Branches!A:B, 2, FALSE), B451&amp;"(NOT FOUND)")</f>
        <v>Bodija Branch</v>
      </c>
      <c r="D451" s="1">
        <v>45556</v>
      </c>
      <c r="E451" t="s">
        <v>76</v>
      </c>
      <c r="F451" t="str">
        <f>IFERROR(VLOOKUP(E451, Staff!A:B, 2, FALSE), E451&amp;" (NOT FOUND)")</f>
        <v>Chika Nwankwo</v>
      </c>
      <c r="G451" t="s">
        <v>26</v>
      </c>
      <c r="H451" t="s">
        <v>27</v>
      </c>
      <c r="I451">
        <v>5</v>
      </c>
      <c r="J451">
        <v>28683.200000000001</v>
      </c>
      <c r="K451" t="s">
        <v>894</v>
      </c>
      <c r="L451" t="s">
        <v>20</v>
      </c>
      <c r="M451" t="s">
        <v>84</v>
      </c>
      <c r="N451">
        <f t="shared" ref="N451:N509" si="7">IF(OR(I451="",J451=""),"",IF(OR(K451="", K451=0), I451*J451, (I451*J451)-(K451/100)*I451*J451))</f>
        <v>143416</v>
      </c>
      <c r="O451" t="s">
        <v>896</v>
      </c>
    </row>
    <row r="452" spans="1:15" x14ac:dyDescent="0.35">
      <c r="A452">
        <v>5335</v>
      </c>
      <c r="B452" t="s">
        <v>32</v>
      </c>
      <c r="C452" t="str">
        <f>IFERROR(VLOOKUP(B452,Branches!A:B, 2, FALSE), B452&amp;"(NOT FOUND)")</f>
        <v>Wuse Branch</v>
      </c>
      <c r="D452" s="1">
        <v>45405</v>
      </c>
      <c r="E452" t="s">
        <v>76</v>
      </c>
      <c r="F452" t="str">
        <f>IFERROR(VLOOKUP(E452, Staff!A:B, 2, FALSE), E452&amp;" (NOT FOUND)")</f>
        <v>Chika Nwankwo</v>
      </c>
      <c r="G452" t="s">
        <v>35</v>
      </c>
      <c r="H452" t="s">
        <v>36</v>
      </c>
      <c r="I452">
        <v>1</v>
      </c>
      <c r="J452" t="s">
        <v>894</v>
      </c>
      <c r="K452">
        <v>0</v>
      </c>
      <c r="L452" t="s">
        <v>60</v>
      </c>
      <c r="M452" t="s">
        <v>84</v>
      </c>
      <c r="N452" t="str">
        <f t="shared" si="7"/>
        <v/>
      </c>
      <c r="O452" t="s">
        <v>896</v>
      </c>
    </row>
    <row r="453" spans="1:15" x14ac:dyDescent="0.35">
      <c r="A453">
        <v>5316</v>
      </c>
      <c r="B453" t="s">
        <v>32</v>
      </c>
      <c r="C453" t="str">
        <f>IFERROR(VLOOKUP(B453,Branches!A:B, 2, FALSE), B453&amp;"(NOT FOUND)")</f>
        <v>Wuse Branch</v>
      </c>
      <c r="D453" s="1">
        <v>45384</v>
      </c>
      <c r="E453" t="s">
        <v>34</v>
      </c>
      <c r="F453" t="str">
        <f>IFERROR(VLOOKUP(E453, Staff!A:B, 2, FALSE), E453&amp;" (NOT FOUND)")</f>
        <v>Funke Ajayi</v>
      </c>
      <c r="G453" t="s">
        <v>16</v>
      </c>
      <c r="H453" t="s">
        <v>170</v>
      </c>
      <c r="I453">
        <v>1</v>
      </c>
      <c r="J453">
        <v>2236.04</v>
      </c>
      <c r="K453">
        <v>10</v>
      </c>
      <c r="L453" t="s">
        <v>60</v>
      </c>
      <c r="M453" t="s">
        <v>38</v>
      </c>
      <c r="N453">
        <f t="shared" si="7"/>
        <v>2012.4359999999999</v>
      </c>
      <c r="O453" t="s">
        <v>896</v>
      </c>
    </row>
    <row r="454" spans="1:15" x14ac:dyDescent="0.35">
      <c r="A454">
        <v>5306</v>
      </c>
      <c r="B454" t="s">
        <v>129</v>
      </c>
      <c r="C454" t="str">
        <f>IFERROR(VLOOKUP(B454,Branches!A:B, 2, FALSE), B454&amp;"(NOT FOUND)")</f>
        <v>Sabon Gari Branch</v>
      </c>
      <c r="D454" s="1">
        <v>45376</v>
      </c>
      <c r="E454" t="s">
        <v>34</v>
      </c>
      <c r="F454" t="str">
        <f>IFERROR(VLOOKUP(E454, Staff!A:B, 2, FALSE), E454&amp;" (NOT FOUND)")</f>
        <v>Funke Ajayi</v>
      </c>
      <c r="G454" t="s">
        <v>64</v>
      </c>
      <c r="H454" t="s">
        <v>65</v>
      </c>
      <c r="I454">
        <v>5</v>
      </c>
      <c r="J454" t="s">
        <v>894</v>
      </c>
      <c r="K454" t="s">
        <v>894</v>
      </c>
      <c r="L454" t="s">
        <v>20</v>
      </c>
      <c r="M454" t="s">
        <v>84</v>
      </c>
      <c r="N454" t="str">
        <f t="shared" si="7"/>
        <v/>
      </c>
      <c r="O454" t="s">
        <v>895</v>
      </c>
    </row>
    <row r="455" spans="1:15" x14ac:dyDescent="0.35">
      <c r="A455">
        <v>5196</v>
      </c>
      <c r="B455" t="s">
        <v>88</v>
      </c>
      <c r="C455" t="str">
        <f>IFERROR(VLOOKUP(B455,Branches!A:B, 2, FALSE), B455&amp;"(NOT FOUND)")</f>
        <v>Lekki Branch</v>
      </c>
      <c r="D455" s="1">
        <v>45314</v>
      </c>
      <c r="E455" t="s">
        <v>108</v>
      </c>
      <c r="F455" t="str">
        <f>IFERROR(VLOOKUP(E455, Staff!A:B, 2, FALSE), E455&amp;" (NOT FOUND)")</f>
        <v>Ronke Bakare</v>
      </c>
      <c r="G455" t="s">
        <v>16</v>
      </c>
      <c r="H455" t="s">
        <v>42</v>
      </c>
      <c r="I455">
        <v>2</v>
      </c>
      <c r="J455">
        <v>33047.230000000003</v>
      </c>
      <c r="K455">
        <v>10</v>
      </c>
      <c r="L455" t="s">
        <v>47</v>
      </c>
      <c r="M455" t="s">
        <v>38</v>
      </c>
      <c r="N455">
        <f t="shared" si="7"/>
        <v>59485.014000000003</v>
      </c>
      <c r="O455" t="s">
        <v>896</v>
      </c>
    </row>
    <row r="456" spans="1:15" x14ac:dyDescent="0.35">
      <c r="A456">
        <v>5359</v>
      </c>
      <c r="B456" t="s">
        <v>129</v>
      </c>
      <c r="C456" t="str">
        <f>IFERROR(VLOOKUP(B456,Branches!A:B, 2, FALSE), B456&amp;"(NOT FOUND)")</f>
        <v>Sabon Gari Branch</v>
      </c>
      <c r="D456" s="1">
        <v>45632</v>
      </c>
      <c r="E456" t="s">
        <v>34</v>
      </c>
      <c r="F456" t="str">
        <f>IFERROR(VLOOKUP(E456, Staff!A:B, 2, FALSE), E456&amp;" (NOT FOUND)")</f>
        <v>Funke Ajayi</v>
      </c>
      <c r="G456" t="s">
        <v>64</v>
      </c>
      <c r="H456" t="s">
        <v>141</v>
      </c>
      <c r="I456">
        <v>5</v>
      </c>
      <c r="J456">
        <v>43822.63</v>
      </c>
      <c r="K456" t="s">
        <v>894</v>
      </c>
      <c r="L456" t="s">
        <v>60</v>
      </c>
      <c r="M456" t="s">
        <v>84</v>
      </c>
      <c r="N456">
        <f t="shared" si="7"/>
        <v>219113.15</v>
      </c>
      <c r="O456" t="s">
        <v>894</v>
      </c>
    </row>
    <row r="457" spans="1:15" x14ac:dyDescent="0.35">
      <c r="A457">
        <v>5192</v>
      </c>
      <c r="B457" t="s">
        <v>88</v>
      </c>
      <c r="C457" t="str">
        <f>IFERROR(VLOOKUP(B457,Branches!A:B, 2, FALSE), B457&amp;"(NOT FOUND)")</f>
        <v>Lekki Branch</v>
      </c>
      <c r="D457" s="1">
        <v>45476</v>
      </c>
      <c r="E457" t="s">
        <v>86</v>
      </c>
      <c r="F457" t="str">
        <f>IFERROR(VLOOKUP(E457, Staff!A:B, 2, FALSE), E457&amp;" (NOT FOUND)")</f>
        <v>Ekene Obi</v>
      </c>
      <c r="G457" t="s">
        <v>35</v>
      </c>
      <c r="H457" t="s">
        <v>36</v>
      </c>
      <c r="I457">
        <v>5</v>
      </c>
      <c r="J457">
        <v>43078.87</v>
      </c>
      <c r="K457" t="s">
        <v>894</v>
      </c>
      <c r="L457" t="s">
        <v>47</v>
      </c>
      <c r="M457" t="s">
        <v>84</v>
      </c>
      <c r="N457">
        <f t="shared" si="7"/>
        <v>215394.35</v>
      </c>
      <c r="O457" t="s">
        <v>895</v>
      </c>
    </row>
    <row r="458" spans="1:15" x14ac:dyDescent="0.35">
      <c r="A458">
        <v>5016</v>
      </c>
      <c r="B458" t="s">
        <v>88</v>
      </c>
      <c r="C458" t="str">
        <f>IFERROR(VLOOKUP(B458,Branches!A:B, 2, FALSE), B458&amp;"(NOT FOUND)")</f>
        <v>Lekki Branch</v>
      </c>
      <c r="D458" s="1">
        <v>45458</v>
      </c>
      <c r="E458" t="s">
        <v>25</v>
      </c>
      <c r="F458" t="str">
        <f>IFERROR(VLOOKUP(E458, Staff!A:B, 2, FALSE), E458&amp;" (NOT FOUND)")</f>
        <v>Tobi Adewale</v>
      </c>
      <c r="G458" t="s">
        <v>35</v>
      </c>
      <c r="H458" t="s">
        <v>99</v>
      </c>
      <c r="I458">
        <v>2</v>
      </c>
      <c r="J458">
        <v>37263.910000000003</v>
      </c>
      <c r="K458">
        <v>5</v>
      </c>
      <c r="L458" t="s">
        <v>47</v>
      </c>
      <c r="M458" t="s">
        <v>84</v>
      </c>
      <c r="N458">
        <f t="shared" si="7"/>
        <v>70801.429000000004</v>
      </c>
      <c r="O458" t="s">
        <v>896</v>
      </c>
    </row>
    <row r="459" spans="1:15" x14ac:dyDescent="0.35">
      <c r="A459">
        <v>5201</v>
      </c>
      <c r="B459" t="s">
        <v>129</v>
      </c>
      <c r="C459" t="str">
        <f>IFERROR(VLOOKUP(B459,Branches!A:B, 2, FALSE), B459&amp;"(NOT FOUND)")</f>
        <v>Sabon Gari Branch</v>
      </c>
      <c r="D459" s="1">
        <v>45380</v>
      </c>
      <c r="E459" t="s">
        <v>108</v>
      </c>
      <c r="F459" t="str">
        <f>IFERROR(VLOOKUP(E459, Staff!A:B, 2, FALSE), E459&amp;" (NOT FOUND)")</f>
        <v>Ronke Bakare</v>
      </c>
      <c r="G459" t="s">
        <v>35</v>
      </c>
      <c r="H459" t="s">
        <v>58</v>
      </c>
      <c r="I459">
        <v>5</v>
      </c>
      <c r="J459">
        <v>16702.240000000002</v>
      </c>
      <c r="K459" t="s">
        <v>894</v>
      </c>
      <c r="L459" t="s">
        <v>47</v>
      </c>
      <c r="M459" t="s">
        <v>38</v>
      </c>
      <c r="N459">
        <f t="shared" si="7"/>
        <v>83511.200000000012</v>
      </c>
      <c r="O459" t="s">
        <v>895</v>
      </c>
    </row>
    <row r="460" spans="1:15" x14ac:dyDescent="0.35">
      <c r="A460">
        <v>5469</v>
      </c>
      <c r="B460" t="s">
        <v>32</v>
      </c>
      <c r="C460" t="str">
        <f>IFERROR(VLOOKUP(B460,Branches!A:B, 2, FALSE), B460&amp;"(NOT FOUND)")</f>
        <v>Wuse Branch</v>
      </c>
      <c r="D460" s="1">
        <v>45507</v>
      </c>
      <c r="E460" t="s">
        <v>15</v>
      </c>
      <c r="F460" t="str">
        <f>IFERROR(VLOOKUP(E460, Staff!A:B, 2, FALSE), E460&amp;" (NOT FOUND)")</f>
        <v>Ibrahim Sani</v>
      </c>
      <c r="G460" t="s">
        <v>16</v>
      </c>
      <c r="H460" t="s">
        <v>170</v>
      </c>
      <c r="I460">
        <v>1</v>
      </c>
      <c r="J460">
        <v>27625.34</v>
      </c>
      <c r="K460">
        <v>10</v>
      </c>
      <c r="L460" t="s">
        <v>60</v>
      </c>
      <c r="M460" t="s">
        <v>84</v>
      </c>
      <c r="N460">
        <f t="shared" si="7"/>
        <v>24862.806</v>
      </c>
      <c r="O460" t="s">
        <v>894</v>
      </c>
    </row>
    <row r="461" spans="1:15" x14ac:dyDescent="0.35">
      <c r="A461">
        <v>5083</v>
      </c>
      <c r="B461" t="s">
        <v>102</v>
      </c>
      <c r="C461" t="str">
        <f>IFERROR(VLOOKUP(B461,Branches!A:B, 2, FALSE), B461&amp;"(NOT FOUND)")</f>
        <v>GRA Branch</v>
      </c>
      <c r="D461" s="1">
        <v>45425</v>
      </c>
      <c r="E461" t="s">
        <v>86</v>
      </c>
      <c r="F461" t="str">
        <f>IFERROR(VLOOKUP(E461, Staff!A:B, 2, FALSE), E461&amp;" (NOT FOUND)")</f>
        <v>Ekene Obi</v>
      </c>
      <c r="G461" t="s">
        <v>64</v>
      </c>
      <c r="H461" t="s">
        <v>133</v>
      </c>
      <c r="J461">
        <v>22341.62</v>
      </c>
      <c r="K461">
        <v>15</v>
      </c>
      <c r="L461" t="s">
        <v>47</v>
      </c>
      <c r="M461" t="s">
        <v>84</v>
      </c>
      <c r="N461" t="str">
        <f t="shared" si="7"/>
        <v/>
      </c>
      <c r="O461" t="s">
        <v>896</v>
      </c>
    </row>
    <row r="462" spans="1:15" x14ac:dyDescent="0.35">
      <c r="A462">
        <v>5391</v>
      </c>
      <c r="B462" t="s">
        <v>102</v>
      </c>
      <c r="C462" t="str">
        <f>IFERROR(VLOOKUP(B462,Branches!A:B, 2, FALSE), B462&amp;"(NOT FOUND)")</f>
        <v>GRA Branch</v>
      </c>
      <c r="D462" s="1">
        <v>45388</v>
      </c>
      <c r="E462" t="s">
        <v>51</v>
      </c>
      <c r="F462" t="str">
        <f>IFERROR(VLOOKUP(E462, Staff!A:B, 2, FALSE), E462&amp;" (NOT FOUND)")</f>
        <v>Halima Yusuf</v>
      </c>
      <c r="G462" t="s">
        <v>16</v>
      </c>
      <c r="H462" t="s">
        <v>109</v>
      </c>
      <c r="J462">
        <v>40218.839999999997</v>
      </c>
      <c r="K462">
        <v>5</v>
      </c>
      <c r="L462" t="s">
        <v>60</v>
      </c>
      <c r="M462" t="s">
        <v>84</v>
      </c>
      <c r="N462" t="str">
        <f t="shared" si="7"/>
        <v/>
      </c>
      <c r="O462" t="s">
        <v>895</v>
      </c>
    </row>
    <row r="463" spans="1:15" x14ac:dyDescent="0.35">
      <c r="A463">
        <v>5128</v>
      </c>
      <c r="B463" t="s">
        <v>88</v>
      </c>
      <c r="C463" t="str">
        <f>IFERROR(VLOOKUP(B463,Branches!A:B, 2, FALSE), B463&amp;"(NOT FOUND)")</f>
        <v>Lekki Branch</v>
      </c>
      <c r="D463" s="1">
        <v>45377</v>
      </c>
      <c r="E463" t="s">
        <v>108</v>
      </c>
      <c r="F463" t="str">
        <f>IFERROR(VLOOKUP(E463, Staff!A:B, 2, FALSE), E463&amp;" (NOT FOUND)")</f>
        <v>Ronke Bakare</v>
      </c>
      <c r="G463" t="s">
        <v>26</v>
      </c>
      <c r="H463" t="s">
        <v>112</v>
      </c>
      <c r="J463">
        <v>36300.35</v>
      </c>
      <c r="K463">
        <v>10</v>
      </c>
      <c r="L463" t="s">
        <v>47</v>
      </c>
      <c r="M463" t="s">
        <v>84</v>
      </c>
      <c r="N463" t="str">
        <f t="shared" si="7"/>
        <v/>
      </c>
      <c r="O463" t="s">
        <v>896</v>
      </c>
    </row>
    <row r="464" spans="1:15" x14ac:dyDescent="0.35">
      <c r="A464">
        <v>5184</v>
      </c>
      <c r="B464" t="s">
        <v>88</v>
      </c>
      <c r="C464" t="str">
        <f>IFERROR(VLOOKUP(B464,Branches!A:B, 2, FALSE), B464&amp;"(NOT FOUND)")</f>
        <v>Lekki Branch</v>
      </c>
      <c r="D464" s="1">
        <v>45305</v>
      </c>
      <c r="E464" t="s">
        <v>51</v>
      </c>
      <c r="F464" t="str">
        <f>IFERROR(VLOOKUP(E464, Staff!A:B, 2, FALSE), E464&amp;" (NOT FOUND)")</f>
        <v>Halima Yusuf</v>
      </c>
      <c r="G464" t="s">
        <v>16</v>
      </c>
      <c r="H464" t="s">
        <v>109</v>
      </c>
      <c r="J464">
        <v>39457.17</v>
      </c>
      <c r="K464">
        <v>5</v>
      </c>
      <c r="L464" t="s">
        <v>47</v>
      </c>
      <c r="M464" t="s">
        <v>38</v>
      </c>
      <c r="N464" t="str">
        <f t="shared" si="7"/>
        <v/>
      </c>
      <c r="O464" t="s">
        <v>894</v>
      </c>
    </row>
    <row r="465" spans="1:15" x14ac:dyDescent="0.35">
      <c r="A465">
        <v>5244</v>
      </c>
      <c r="B465" t="s">
        <v>88</v>
      </c>
      <c r="C465" t="str">
        <f>IFERROR(VLOOKUP(B465,Branches!A:B, 2, FALSE), B465&amp;"(NOT FOUND)")</f>
        <v>Lekki Branch</v>
      </c>
      <c r="D465" s="1">
        <v>45328</v>
      </c>
      <c r="E465" t="s">
        <v>34</v>
      </c>
      <c r="F465" t="str">
        <f>IFERROR(VLOOKUP(E465, Staff!A:B, 2, FALSE), E465&amp;" (NOT FOUND)")</f>
        <v>Funke Ajayi</v>
      </c>
      <c r="G465" t="s">
        <v>35</v>
      </c>
      <c r="H465" t="s">
        <v>58</v>
      </c>
      <c r="I465">
        <v>3</v>
      </c>
      <c r="J465">
        <v>30582.41</v>
      </c>
      <c r="K465">
        <v>0</v>
      </c>
      <c r="L465" t="s">
        <v>20</v>
      </c>
      <c r="M465" t="s">
        <v>84</v>
      </c>
      <c r="N465">
        <f t="shared" si="7"/>
        <v>91747.23</v>
      </c>
      <c r="O465" t="s">
        <v>896</v>
      </c>
    </row>
    <row r="466" spans="1:15" x14ac:dyDescent="0.35">
      <c r="A466">
        <v>5281</v>
      </c>
      <c r="B466" t="s">
        <v>88</v>
      </c>
      <c r="C466" t="str">
        <f>IFERROR(VLOOKUP(B466,Branches!A:B, 2, FALSE), B466&amp;"(NOT FOUND)")</f>
        <v>Lekki Branch</v>
      </c>
      <c r="D466" s="1">
        <v>45512</v>
      </c>
      <c r="E466" t="s">
        <v>108</v>
      </c>
      <c r="F466" t="str">
        <f>IFERROR(VLOOKUP(E466, Staff!A:B, 2, FALSE), E466&amp;" (NOT FOUND)")</f>
        <v>Ronke Bakare</v>
      </c>
      <c r="G466" t="s">
        <v>35</v>
      </c>
      <c r="H466" t="s">
        <v>36</v>
      </c>
      <c r="I466">
        <v>1</v>
      </c>
      <c r="J466">
        <v>20297.91</v>
      </c>
      <c r="K466">
        <v>15</v>
      </c>
      <c r="L466" t="s">
        <v>47</v>
      </c>
      <c r="M466" t="s">
        <v>84</v>
      </c>
      <c r="N466">
        <f t="shared" si="7"/>
        <v>17253.2235</v>
      </c>
      <c r="O466" t="s">
        <v>896</v>
      </c>
    </row>
    <row r="467" spans="1:15" x14ac:dyDescent="0.35">
      <c r="A467">
        <v>5261</v>
      </c>
      <c r="B467" t="s">
        <v>32</v>
      </c>
      <c r="C467" t="str">
        <f>IFERROR(VLOOKUP(B467,Branches!A:B, 2, FALSE), B467&amp;"(NOT FOUND)")</f>
        <v>Wuse Branch</v>
      </c>
      <c r="D467" s="1">
        <v>45460</v>
      </c>
      <c r="E467" t="s">
        <v>108</v>
      </c>
      <c r="F467" t="str">
        <f>IFERROR(VLOOKUP(E467, Staff!A:B, 2, FALSE), E467&amp;" (NOT FOUND)")</f>
        <v>Ronke Bakare</v>
      </c>
      <c r="G467" t="s">
        <v>64</v>
      </c>
      <c r="H467" t="s">
        <v>141</v>
      </c>
      <c r="I467">
        <v>1</v>
      </c>
      <c r="J467" t="s">
        <v>894</v>
      </c>
      <c r="K467">
        <v>5</v>
      </c>
      <c r="L467" t="s">
        <v>20</v>
      </c>
      <c r="M467" t="s">
        <v>38</v>
      </c>
      <c r="N467" t="str">
        <f t="shared" si="7"/>
        <v/>
      </c>
      <c r="O467" t="s">
        <v>894</v>
      </c>
    </row>
    <row r="468" spans="1:15" x14ac:dyDescent="0.35">
      <c r="A468">
        <v>5482</v>
      </c>
      <c r="B468" t="s">
        <v>88</v>
      </c>
      <c r="C468" t="str">
        <f>IFERROR(VLOOKUP(B468,Branches!A:B, 2, FALSE), B468&amp;"(NOT FOUND)")</f>
        <v>Lekki Branch</v>
      </c>
      <c r="D468" s="1">
        <v>45359</v>
      </c>
      <c r="E468" t="s">
        <v>15</v>
      </c>
      <c r="F468" t="str">
        <f>IFERROR(VLOOKUP(E468, Staff!A:B, 2, FALSE), E468&amp;" (NOT FOUND)")</f>
        <v>Ibrahim Sani</v>
      </c>
      <c r="G468" t="s">
        <v>16</v>
      </c>
      <c r="H468" t="s">
        <v>109</v>
      </c>
      <c r="I468">
        <v>5</v>
      </c>
      <c r="J468">
        <v>1293.1300000000001</v>
      </c>
      <c r="K468">
        <v>10</v>
      </c>
      <c r="L468" t="s">
        <v>47</v>
      </c>
      <c r="M468" t="s">
        <v>38</v>
      </c>
      <c r="N468">
        <f t="shared" si="7"/>
        <v>5819.0850000000009</v>
      </c>
      <c r="O468" t="s">
        <v>896</v>
      </c>
    </row>
    <row r="469" spans="1:15" x14ac:dyDescent="0.35">
      <c r="A469">
        <v>5320</v>
      </c>
      <c r="B469" t="s">
        <v>32</v>
      </c>
      <c r="C469" t="str">
        <f>IFERROR(VLOOKUP(B469,Branches!A:B, 2, FALSE), B469&amp;"(NOT FOUND)")</f>
        <v>Wuse Branch</v>
      </c>
      <c r="D469" s="1">
        <v>45334</v>
      </c>
      <c r="E469" t="s">
        <v>86</v>
      </c>
      <c r="F469" t="str">
        <f>IFERROR(VLOOKUP(E469, Staff!A:B, 2, FALSE), E469&amp;" (NOT FOUND)")</f>
        <v>Ekene Obi</v>
      </c>
      <c r="G469" t="s">
        <v>16</v>
      </c>
      <c r="H469" t="s">
        <v>82</v>
      </c>
      <c r="I469">
        <v>3</v>
      </c>
      <c r="J469">
        <v>29090.720000000001</v>
      </c>
      <c r="K469">
        <v>5</v>
      </c>
      <c r="L469" t="s">
        <v>20</v>
      </c>
      <c r="M469" t="s">
        <v>84</v>
      </c>
      <c r="N469">
        <f t="shared" si="7"/>
        <v>82908.551999999996</v>
      </c>
      <c r="O469" t="s">
        <v>895</v>
      </c>
    </row>
    <row r="470" spans="1:15" x14ac:dyDescent="0.35">
      <c r="A470">
        <v>5045</v>
      </c>
      <c r="B470" t="s">
        <v>88</v>
      </c>
      <c r="C470" t="str">
        <f>IFERROR(VLOOKUP(B470,Branches!A:B, 2, FALSE), B470&amp;"(NOT FOUND)")</f>
        <v>Lekki Branch</v>
      </c>
      <c r="D470" s="1">
        <v>45390</v>
      </c>
      <c r="E470" t="s">
        <v>86</v>
      </c>
      <c r="F470" t="str">
        <f>IFERROR(VLOOKUP(E470, Staff!A:B, 2, FALSE), E470&amp;" (NOT FOUND)")</f>
        <v>Ekene Obi</v>
      </c>
      <c r="G470" t="s">
        <v>16</v>
      </c>
      <c r="H470" t="s">
        <v>42</v>
      </c>
      <c r="J470">
        <v>11704.83</v>
      </c>
      <c r="K470">
        <v>10</v>
      </c>
      <c r="L470" t="s">
        <v>20</v>
      </c>
      <c r="M470" t="s">
        <v>38</v>
      </c>
      <c r="N470" t="str">
        <f t="shared" si="7"/>
        <v/>
      </c>
      <c r="O470" t="s">
        <v>896</v>
      </c>
    </row>
    <row r="471" spans="1:15" x14ac:dyDescent="0.35">
      <c r="A471">
        <v>5102</v>
      </c>
      <c r="B471" t="s">
        <v>102</v>
      </c>
      <c r="C471" t="str">
        <f>IFERROR(VLOOKUP(B471,Branches!A:B, 2, FALSE), B471&amp;"(NOT FOUND)")</f>
        <v>GRA Branch</v>
      </c>
      <c r="D471" s="1">
        <v>45499</v>
      </c>
      <c r="E471" t="s">
        <v>25</v>
      </c>
      <c r="F471" t="str">
        <f>IFERROR(VLOOKUP(E471, Staff!A:B, 2, FALSE), E471&amp;" (NOT FOUND)")</f>
        <v>Tobi Adewale</v>
      </c>
      <c r="G471" t="s">
        <v>64</v>
      </c>
      <c r="H471" t="s">
        <v>65</v>
      </c>
      <c r="I471">
        <v>3</v>
      </c>
      <c r="J471">
        <v>6176.9</v>
      </c>
      <c r="K471" t="s">
        <v>894</v>
      </c>
      <c r="L471" t="s">
        <v>20</v>
      </c>
      <c r="M471" t="s">
        <v>84</v>
      </c>
      <c r="N471">
        <f t="shared" si="7"/>
        <v>18530.699999999997</v>
      </c>
      <c r="O471" t="s">
        <v>895</v>
      </c>
    </row>
    <row r="472" spans="1:15" x14ac:dyDescent="0.35">
      <c r="A472">
        <v>5182</v>
      </c>
      <c r="B472" t="s">
        <v>74</v>
      </c>
      <c r="C472" t="str">
        <f>IFERROR(VLOOKUP(B472,Branches!A:B, 2, FALSE), B472&amp;"(NOT FOUND)")</f>
        <v>Bodija Branch</v>
      </c>
      <c r="D472" s="1">
        <v>45433</v>
      </c>
      <c r="E472" t="s">
        <v>34</v>
      </c>
      <c r="F472" t="str">
        <f>IFERROR(VLOOKUP(E472, Staff!A:B, 2, FALSE), E472&amp;" (NOT FOUND)")</f>
        <v>Funke Ajayi</v>
      </c>
      <c r="G472" t="s">
        <v>64</v>
      </c>
      <c r="H472" t="s">
        <v>77</v>
      </c>
      <c r="J472">
        <v>19558</v>
      </c>
      <c r="K472" t="s">
        <v>894</v>
      </c>
      <c r="L472" t="s">
        <v>60</v>
      </c>
      <c r="M472" t="s">
        <v>38</v>
      </c>
      <c r="N472" t="str">
        <f t="shared" si="7"/>
        <v/>
      </c>
      <c r="O472" t="s">
        <v>896</v>
      </c>
    </row>
    <row r="473" spans="1:15" x14ac:dyDescent="0.35">
      <c r="A473">
        <v>5165</v>
      </c>
      <c r="B473" t="s">
        <v>102</v>
      </c>
      <c r="C473" t="str">
        <f>IFERROR(VLOOKUP(B473,Branches!A:B, 2, FALSE), B473&amp;"(NOT FOUND)")</f>
        <v>GRA Branch</v>
      </c>
      <c r="D473" s="1">
        <v>45498</v>
      </c>
      <c r="E473" t="s">
        <v>51</v>
      </c>
      <c r="F473" t="str">
        <f>IFERROR(VLOOKUP(E473, Staff!A:B, 2, FALSE), E473&amp;" (NOT FOUND)")</f>
        <v>Halima Yusuf</v>
      </c>
      <c r="G473" t="s">
        <v>64</v>
      </c>
      <c r="H473" t="s">
        <v>141</v>
      </c>
      <c r="I473">
        <v>2</v>
      </c>
      <c r="J473">
        <v>25025.47</v>
      </c>
      <c r="K473">
        <v>5</v>
      </c>
      <c r="L473" t="s">
        <v>20</v>
      </c>
      <c r="M473" t="s">
        <v>38</v>
      </c>
      <c r="N473">
        <f t="shared" si="7"/>
        <v>47548.393000000004</v>
      </c>
      <c r="O473" t="s">
        <v>896</v>
      </c>
    </row>
    <row r="474" spans="1:15" x14ac:dyDescent="0.35">
      <c r="A474">
        <v>5002</v>
      </c>
      <c r="B474" t="s">
        <v>88</v>
      </c>
      <c r="C474" t="str">
        <f>IFERROR(VLOOKUP(B474,Branches!A:B, 2, FALSE), B474&amp;"(NOT FOUND)")</f>
        <v>Lekki Branch</v>
      </c>
      <c r="D474" s="1">
        <v>45449</v>
      </c>
      <c r="E474" t="s">
        <v>76</v>
      </c>
      <c r="F474" t="str">
        <f>IFERROR(VLOOKUP(E474, Staff!A:B, 2, FALSE), E474&amp;" (NOT FOUND)")</f>
        <v>Chika Nwankwo</v>
      </c>
      <c r="G474" t="s">
        <v>26</v>
      </c>
      <c r="H474" t="s">
        <v>167</v>
      </c>
      <c r="I474">
        <v>1</v>
      </c>
      <c r="J474" t="s">
        <v>894</v>
      </c>
      <c r="K474">
        <v>5</v>
      </c>
      <c r="L474" t="s">
        <v>20</v>
      </c>
      <c r="M474" t="s">
        <v>38</v>
      </c>
      <c r="N474" t="str">
        <f t="shared" si="7"/>
        <v/>
      </c>
      <c r="O474" t="s">
        <v>896</v>
      </c>
    </row>
    <row r="475" spans="1:15" x14ac:dyDescent="0.35">
      <c r="A475">
        <v>5202</v>
      </c>
      <c r="B475" t="s">
        <v>129</v>
      </c>
      <c r="C475" t="str">
        <f>IFERROR(VLOOKUP(B475,Branches!A:B, 2, FALSE), B475&amp;"(NOT FOUND)")</f>
        <v>Sabon Gari Branch</v>
      </c>
      <c r="D475" s="1">
        <v>45559</v>
      </c>
      <c r="E475" t="s">
        <v>76</v>
      </c>
      <c r="F475" t="str">
        <f>IFERROR(VLOOKUP(E475, Staff!A:B, 2, FALSE), E475&amp;" (NOT FOUND)")</f>
        <v>Chika Nwankwo</v>
      </c>
      <c r="G475" t="s">
        <v>64</v>
      </c>
      <c r="H475" t="s">
        <v>77</v>
      </c>
      <c r="I475">
        <v>4</v>
      </c>
      <c r="J475">
        <v>5975.01</v>
      </c>
      <c r="K475">
        <v>15</v>
      </c>
      <c r="L475" t="s">
        <v>20</v>
      </c>
      <c r="M475" t="s">
        <v>38</v>
      </c>
      <c r="N475">
        <f t="shared" si="7"/>
        <v>20315.034</v>
      </c>
      <c r="O475" t="s">
        <v>895</v>
      </c>
    </row>
    <row r="476" spans="1:15" x14ac:dyDescent="0.35">
      <c r="A476">
        <v>5250</v>
      </c>
      <c r="B476" t="s">
        <v>88</v>
      </c>
      <c r="C476" t="str">
        <f>IFERROR(VLOOKUP(B476,Branches!A:B, 2, FALSE), B476&amp;"(NOT FOUND)")</f>
        <v>Lekki Branch</v>
      </c>
      <c r="D476" s="1">
        <v>45455</v>
      </c>
      <c r="E476" t="s">
        <v>57</v>
      </c>
      <c r="F476" t="str">
        <f>IFERROR(VLOOKUP(E476, Staff!A:B, 2, FALSE), E476&amp;" (NOT FOUND)")</f>
        <v>Kelechi Umeh</v>
      </c>
      <c r="G476" t="s">
        <v>16</v>
      </c>
      <c r="H476" t="s">
        <v>17</v>
      </c>
      <c r="I476">
        <v>3</v>
      </c>
      <c r="J476" t="s">
        <v>894</v>
      </c>
      <c r="K476">
        <v>15</v>
      </c>
      <c r="L476" t="s">
        <v>20</v>
      </c>
      <c r="M476" t="s">
        <v>38</v>
      </c>
      <c r="N476" t="str">
        <f t="shared" si="7"/>
        <v/>
      </c>
      <c r="O476" t="s">
        <v>894</v>
      </c>
    </row>
    <row r="477" spans="1:15" x14ac:dyDescent="0.35">
      <c r="A477">
        <v>5028</v>
      </c>
      <c r="B477" t="s">
        <v>102</v>
      </c>
      <c r="C477" t="str">
        <f>IFERROR(VLOOKUP(B477,Branches!A:B, 2, FALSE), B477&amp;"(NOT FOUND)")</f>
        <v>GRA Branch</v>
      </c>
      <c r="D477" s="1">
        <v>45315</v>
      </c>
      <c r="E477" t="s">
        <v>76</v>
      </c>
      <c r="F477" t="str">
        <f>IFERROR(VLOOKUP(E477, Staff!A:B, 2, FALSE), E477&amp;" (NOT FOUND)")</f>
        <v>Chika Nwankwo</v>
      </c>
      <c r="G477" t="s">
        <v>16</v>
      </c>
      <c r="H477" t="s">
        <v>42</v>
      </c>
      <c r="I477">
        <v>1</v>
      </c>
      <c r="J477">
        <v>4259.58</v>
      </c>
      <c r="K477" t="s">
        <v>894</v>
      </c>
      <c r="L477" t="s">
        <v>47</v>
      </c>
      <c r="M477" t="s">
        <v>84</v>
      </c>
      <c r="N477">
        <f t="shared" si="7"/>
        <v>4259.58</v>
      </c>
      <c r="O477" t="s">
        <v>895</v>
      </c>
    </row>
    <row r="478" spans="1:15" x14ac:dyDescent="0.35">
      <c r="A478">
        <v>5238</v>
      </c>
      <c r="B478" t="s">
        <v>102</v>
      </c>
      <c r="C478" t="str">
        <f>IFERROR(VLOOKUP(B478,Branches!A:B, 2, FALSE), B478&amp;"(NOT FOUND)")</f>
        <v>GRA Branch</v>
      </c>
      <c r="D478" s="1">
        <v>45533</v>
      </c>
      <c r="E478" t="s">
        <v>108</v>
      </c>
      <c r="F478" t="str">
        <f>IFERROR(VLOOKUP(E478, Staff!A:B, 2, FALSE), E478&amp;" (NOT FOUND)")</f>
        <v>Ronke Bakare</v>
      </c>
      <c r="G478" t="s">
        <v>35</v>
      </c>
      <c r="H478" t="s">
        <v>136</v>
      </c>
      <c r="I478">
        <v>4</v>
      </c>
      <c r="J478">
        <v>18436.919999999998</v>
      </c>
      <c r="K478">
        <v>15</v>
      </c>
      <c r="L478" t="s">
        <v>47</v>
      </c>
      <c r="M478" t="s">
        <v>84</v>
      </c>
      <c r="N478">
        <f t="shared" si="7"/>
        <v>62685.527999999991</v>
      </c>
      <c r="O478" t="s">
        <v>894</v>
      </c>
    </row>
    <row r="479" spans="1:15" x14ac:dyDescent="0.35">
      <c r="A479">
        <v>5495</v>
      </c>
      <c r="B479" t="s">
        <v>88</v>
      </c>
      <c r="C479" t="str">
        <f>IFERROR(VLOOKUP(B479,Branches!A:B, 2, FALSE), B479&amp;"(NOT FOUND)")</f>
        <v>Lekki Branch</v>
      </c>
      <c r="D479" s="1">
        <v>45542</v>
      </c>
      <c r="E479" t="s">
        <v>76</v>
      </c>
      <c r="F479" t="str">
        <f>IFERROR(VLOOKUP(E479, Staff!A:B, 2, FALSE), E479&amp;" (NOT FOUND)")</f>
        <v>Chika Nwankwo</v>
      </c>
      <c r="G479" t="s">
        <v>35</v>
      </c>
      <c r="H479" t="s">
        <v>36</v>
      </c>
      <c r="I479">
        <v>5</v>
      </c>
      <c r="J479">
        <v>43596.05</v>
      </c>
      <c r="K479">
        <v>10</v>
      </c>
      <c r="L479" t="s">
        <v>60</v>
      </c>
      <c r="M479" t="s">
        <v>38</v>
      </c>
      <c r="N479">
        <f t="shared" si="7"/>
        <v>196182.22500000001</v>
      </c>
      <c r="O479" t="s">
        <v>896</v>
      </c>
    </row>
    <row r="480" spans="1:15" x14ac:dyDescent="0.35">
      <c r="A480">
        <v>5145</v>
      </c>
      <c r="B480" t="s">
        <v>74</v>
      </c>
      <c r="C480" t="str">
        <f>IFERROR(VLOOKUP(B480,Branches!A:B, 2, FALSE), B480&amp;"(NOT FOUND)")</f>
        <v>Bodija Branch</v>
      </c>
      <c r="D480" s="1">
        <v>45393</v>
      </c>
      <c r="E480" t="s">
        <v>57</v>
      </c>
      <c r="F480" t="str">
        <f>IFERROR(VLOOKUP(E480, Staff!A:B, 2, FALSE), E480&amp;" (NOT FOUND)")</f>
        <v>Kelechi Umeh</v>
      </c>
      <c r="G480" t="s">
        <v>16</v>
      </c>
      <c r="H480" t="s">
        <v>82</v>
      </c>
      <c r="J480">
        <v>1814.18</v>
      </c>
      <c r="K480" t="s">
        <v>894</v>
      </c>
      <c r="L480" t="s">
        <v>20</v>
      </c>
      <c r="M480" t="s">
        <v>84</v>
      </c>
      <c r="N480" t="str">
        <f t="shared" si="7"/>
        <v/>
      </c>
      <c r="O480" t="s">
        <v>896</v>
      </c>
    </row>
    <row r="481" spans="1:15" x14ac:dyDescent="0.35">
      <c r="A481">
        <v>5181</v>
      </c>
      <c r="B481" t="s">
        <v>32</v>
      </c>
      <c r="C481" t="str">
        <f>IFERROR(VLOOKUP(B481,Branches!A:B, 2, FALSE), B481&amp;"(NOT FOUND)")</f>
        <v>Wuse Branch</v>
      </c>
      <c r="D481" s="1">
        <v>45466</v>
      </c>
      <c r="E481" t="s">
        <v>108</v>
      </c>
      <c r="F481" t="str">
        <f>IFERROR(VLOOKUP(E481, Staff!A:B, 2, FALSE), E481&amp;" (NOT FOUND)")</f>
        <v>Ronke Bakare</v>
      </c>
      <c r="G481" t="s">
        <v>26</v>
      </c>
      <c r="H481" t="s">
        <v>27</v>
      </c>
      <c r="I481">
        <v>3</v>
      </c>
      <c r="J481">
        <v>41861.85</v>
      </c>
      <c r="K481">
        <v>0</v>
      </c>
      <c r="L481" t="s">
        <v>47</v>
      </c>
      <c r="M481" t="s">
        <v>38</v>
      </c>
      <c r="N481">
        <f t="shared" si="7"/>
        <v>125585.54999999999</v>
      </c>
      <c r="O481" t="s">
        <v>895</v>
      </c>
    </row>
    <row r="482" spans="1:15" x14ac:dyDescent="0.35">
      <c r="A482">
        <v>5498</v>
      </c>
      <c r="B482" t="s">
        <v>74</v>
      </c>
      <c r="C482" t="str">
        <f>IFERROR(VLOOKUP(B482,Branches!A:B, 2, FALSE), B482&amp;"(NOT FOUND)")</f>
        <v>Bodija Branch</v>
      </c>
      <c r="D482" s="1">
        <v>45456</v>
      </c>
      <c r="E482" t="s">
        <v>108</v>
      </c>
      <c r="F482" t="str">
        <f>IFERROR(VLOOKUP(E482, Staff!A:B, 2, FALSE), E482&amp;" (NOT FOUND)")</f>
        <v>Ronke Bakare</v>
      </c>
      <c r="G482" t="s">
        <v>16</v>
      </c>
      <c r="H482" t="s">
        <v>42</v>
      </c>
      <c r="I482">
        <v>4</v>
      </c>
      <c r="J482" t="s">
        <v>894</v>
      </c>
      <c r="K482">
        <v>5</v>
      </c>
      <c r="L482" t="s">
        <v>20</v>
      </c>
      <c r="M482" t="s">
        <v>84</v>
      </c>
      <c r="N482" t="str">
        <f t="shared" si="7"/>
        <v/>
      </c>
      <c r="O482" t="s">
        <v>894</v>
      </c>
    </row>
    <row r="483" spans="1:15" x14ac:dyDescent="0.35">
      <c r="A483">
        <v>5010</v>
      </c>
      <c r="B483" t="s">
        <v>74</v>
      </c>
      <c r="C483" t="str">
        <f>IFERROR(VLOOKUP(B483,Branches!A:B, 2, FALSE), B483&amp;"(NOT FOUND)")</f>
        <v>Bodija Branch</v>
      </c>
      <c r="D483" s="1">
        <v>45478</v>
      </c>
      <c r="E483" t="s">
        <v>51</v>
      </c>
      <c r="F483" t="str">
        <f>IFERROR(VLOOKUP(E483, Staff!A:B, 2, FALSE), E483&amp;" (NOT FOUND)")</f>
        <v>Halima Yusuf</v>
      </c>
      <c r="G483" t="s">
        <v>16</v>
      </c>
      <c r="H483" t="s">
        <v>42</v>
      </c>
      <c r="I483">
        <v>1</v>
      </c>
      <c r="J483">
        <v>39407.79</v>
      </c>
      <c r="K483" t="s">
        <v>894</v>
      </c>
      <c r="L483" t="s">
        <v>47</v>
      </c>
      <c r="M483" t="s">
        <v>38</v>
      </c>
      <c r="N483">
        <f t="shared" si="7"/>
        <v>39407.79</v>
      </c>
      <c r="O483" t="s">
        <v>896</v>
      </c>
    </row>
    <row r="484" spans="1:15" x14ac:dyDescent="0.35">
      <c r="A484">
        <v>5241</v>
      </c>
      <c r="B484" t="s">
        <v>129</v>
      </c>
      <c r="C484" t="str">
        <f>IFERROR(VLOOKUP(B484,Branches!A:B, 2, FALSE), B484&amp;"(NOT FOUND)")</f>
        <v>Sabon Gari Branch</v>
      </c>
      <c r="D484" s="1">
        <v>45464</v>
      </c>
      <c r="E484" t="s">
        <v>51</v>
      </c>
      <c r="F484" t="str">
        <f>IFERROR(VLOOKUP(E484, Staff!A:B, 2, FALSE), E484&amp;" (NOT FOUND)")</f>
        <v>Halima Yusuf</v>
      </c>
      <c r="G484" t="s">
        <v>35</v>
      </c>
      <c r="H484" t="s">
        <v>155</v>
      </c>
      <c r="I484">
        <v>4</v>
      </c>
      <c r="J484">
        <v>37951.86</v>
      </c>
      <c r="K484">
        <v>15</v>
      </c>
      <c r="L484" t="s">
        <v>60</v>
      </c>
      <c r="M484" t="s">
        <v>84</v>
      </c>
      <c r="N484">
        <f t="shared" si="7"/>
        <v>129036.32400000001</v>
      </c>
      <c r="O484" t="s">
        <v>894</v>
      </c>
    </row>
    <row r="485" spans="1:15" x14ac:dyDescent="0.35">
      <c r="A485">
        <v>5216</v>
      </c>
      <c r="B485" t="s">
        <v>74</v>
      </c>
      <c r="C485" t="str">
        <f>IFERROR(VLOOKUP(B485,Branches!A:B, 2, FALSE), B485&amp;"(NOT FOUND)")</f>
        <v>Bodija Branch</v>
      </c>
      <c r="D485" s="1">
        <v>45371</v>
      </c>
      <c r="E485" t="s">
        <v>34</v>
      </c>
      <c r="F485" t="str">
        <f>IFERROR(VLOOKUP(E485, Staff!A:B, 2, FALSE), E485&amp;" (NOT FOUND)")</f>
        <v>Funke Ajayi</v>
      </c>
      <c r="G485" t="s">
        <v>64</v>
      </c>
      <c r="H485" t="s">
        <v>116</v>
      </c>
      <c r="I485">
        <v>2</v>
      </c>
      <c r="J485">
        <v>42577.27</v>
      </c>
      <c r="K485">
        <v>15</v>
      </c>
      <c r="L485" t="s">
        <v>20</v>
      </c>
      <c r="M485" t="s">
        <v>38</v>
      </c>
      <c r="N485">
        <f t="shared" si="7"/>
        <v>72381.358999999997</v>
      </c>
      <c r="O485" t="s">
        <v>895</v>
      </c>
    </row>
    <row r="486" spans="1:15" x14ac:dyDescent="0.35">
      <c r="A486">
        <v>5471</v>
      </c>
      <c r="B486" t="s">
        <v>88</v>
      </c>
      <c r="C486" t="str">
        <f>IFERROR(VLOOKUP(B486,Branches!A:B, 2, FALSE), B486&amp;"(NOT FOUND)")</f>
        <v>Lekki Branch</v>
      </c>
      <c r="D486" s="1">
        <v>45491</v>
      </c>
      <c r="E486" t="s">
        <v>25</v>
      </c>
      <c r="F486" t="str">
        <f>IFERROR(VLOOKUP(E486, Staff!A:B, 2, FALSE), E486&amp;" (NOT FOUND)")</f>
        <v>Tobi Adewale</v>
      </c>
      <c r="G486" t="s">
        <v>26</v>
      </c>
      <c r="H486" t="s">
        <v>167</v>
      </c>
      <c r="I486">
        <v>1</v>
      </c>
      <c r="J486">
        <v>35610.53</v>
      </c>
      <c r="K486" t="s">
        <v>894</v>
      </c>
      <c r="L486" t="s">
        <v>20</v>
      </c>
      <c r="M486" t="s">
        <v>38</v>
      </c>
      <c r="N486">
        <f t="shared" si="7"/>
        <v>35610.53</v>
      </c>
      <c r="O486" t="s">
        <v>896</v>
      </c>
    </row>
    <row r="487" spans="1:15" x14ac:dyDescent="0.35">
      <c r="A487">
        <v>5360</v>
      </c>
      <c r="B487" t="s">
        <v>102</v>
      </c>
      <c r="C487" t="str">
        <f>IFERROR(VLOOKUP(B487,Branches!A:B, 2, FALSE), B487&amp;"(NOT FOUND)")</f>
        <v>GRA Branch</v>
      </c>
      <c r="D487" s="1">
        <v>45558</v>
      </c>
      <c r="E487" t="s">
        <v>51</v>
      </c>
      <c r="F487" t="str">
        <f>IFERROR(VLOOKUP(E487, Staff!A:B, 2, FALSE), E487&amp;" (NOT FOUND)")</f>
        <v>Halima Yusuf</v>
      </c>
      <c r="G487" t="s">
        <v>16</v>
      </c>
      <c r="H487" t="s">
        <v>170</v>
      </c>
      <c r="I487">
        <v>5</v>
      </c>
      <c r="J487">
        <v>1977.12</v>
      </c>
      <c r="K487">
        <v>0</v>
      </c>
      <c r="L487" t="s">
        <v>20</v>
      </c>
      <c r="M487" t="s">
        <v>38</v>
      </c>
      <c r="N487">
        <f t="shared" si="7"/>
        <v>9885.5999999999985</v>
      </c>
      <c r="O487" t="s">
        <v>894</v>
      </c>
    </row>
    <row r="488" spans="1:15" x14ac:dyDescent="0.35">
      <c r="A488">
        <v>5284</v>
      </c>
      <c r="B488" t="s">
        <v>88</v>
      </c>
      <c r="C488" t="str">
        <f>IFERROR(VLOOKUP(B488,Branches!A:B, 2, FALSE), B488&amp;"(NOT FOUND)")</f>
        <v>Lekki Branch</v>
      </c>
      <c r="D488" s="1">
        <v>45315</v>
      </c>
      <c r="E488" t="s">
        <v>86</v>
      </c>
      <c r="F488" t="str">
        <f>IFERROR(VLOOKUP(E488, Staff!A:B, 2, FALSE), E488&amp;" (NOT FOUND)")</f>
        <v>Ekene Obi</v>
      </c>
      <c r="G488" t="s">
        <v>35</v>
      </c>
      <c r="H488" t="s">
        <v>136</v>
      </c>
      <c r="I488">
        <v>2</v>
      </c>
      <c r="J488">
        <v>16930.04</v>
      </c>
      <c r="K488">
        <v>5</v>
      </c>
      <c r="L488" t="s">
        <v>20</v>
      </c>
      <c r="M488" t="s">
        <v>84</v>
      </c>
      <c r="N488">
        <f t="shared" si="7"/>
        <v>32167.076000000001</v>
      </c>
      <c r="O488" t="s">
        <v>895</v>
      </c>
    </row>
    <row r="489" spans="1:15" x14ac:dyDescent="0.35">
      <c r="A489">
        <v>5249</v>
      </c>
      <c r="B489" t="s">
        <v>32</v>
      </c>
      <c r="C489" t="str">
        <f>IFERROR(VLOOKUP(B489,Branches!A:B, 2, FALSE), B489&amp;"(NOT FOUND)")</f>
        <v>Wuse Branch</v>
      </c>
      <c r="D489" s="1">
        <v>45453</v>
      </c>
      <c r="E489" t="s">
        <v>34</v>
      </c>
      <c r="F489" t="str">
        <f>IFERROR(VLOOKUP(E489, Staff!A:B, 2, FALSE), E489&amp;" (NOT FOUND)")</f>
        <v>Funke Ajayi</v>
      </c>
      <c r="G489" t="s">
        <v>16</v>
      </c>
      <c r="H489" t="s">
        <v>82</v>
      </c>
      <c r="I489">
        <v>1</v>
      </c>
      <c r="J489">
        <v>16248.85</v>
      </c>
      <c r="K489" t="s">
        <v>894</v>
      </c>
      <c r="L489" t="s">
        <v>47</v>
      </c>
      <c r="M489" t="s">
        <v>84</v>
      </c>
      <c r="N489">
        <f t="shared" si="7"/>
        <v>16248.85</v>
      </c>
      <c r="O489" t="s">
        <v>896</v>
      </c>
    </row>
    <row r="490" spans="1:15" x14ac:dyDescent="0.35">
      <c r="A490">
        <v>5474</v>
      </c>
      <c r="B490" t="s">
        <v>32</v>
      </c>
      <c r="C490" t="str">
        <f>IFERROR(VLOOKUP(B490,Branches!A:B, 2, FALSE), B490&amp;"(NOT FOUND)")</f>
        <v>Wuse Branch</v>
      </c>
      <c r="D490" s="1">
        <v>45510</v>
      </c>
      <c r="E490" t="s">
        <v>86</v>
      </c>
      <c r="F490" t="str">
        <f>IFERROR(VLOOKUP(E490, Staff!A:B, 2, FALSE), E490&amp;" (NOT FOUND)")</f>
        <v>Ekene Obi</v>
      </c>
      <c r="G490" t="s">
        <v>64</v>
      </c>
      <c r="H490" t="s">
        <v>133</v>
      </c>
      <c r="J490" t="s">
        <v>894</v>
      </c>
      <c r="K490">
        <v>10</v>
      </c>
      <c r="L490" t="s">
        <v>20</v>
      </c>
      <c r="M490" t="s">
        <v>38</v>
      </c>
      <c r="N490" t="str">
        <f t="shared" si="7"/>
        <v/>
      </c>
      <c r="O490" t="s">
        <v>896</v>
      </c>
    </row>
    <row r="491" spans="1:15" x14ac:dyDescent="0.35">
      <c r="A491">
        <v>5251</v>
      </c>
      <c r="B491" t="s">
        <v>32</v>
      </c>
      <c r="C491" t="str">
        <f>IFERROR(VLOOKUP(B491,Branches!A:B, 2, FALSE), B491&amp;"(NOT FOUND)")</f>
        <v>Wuse Branch</v>
      </c>
      <c r="D491" s="1">
        <v>45488</v>
      </c>
      <c r="E491" t="s">
        <v>34</v>
      </c>
      <c r="F491" t="str">
        <f>IFERROR(VLOOKUP(E491, Staff!A:B, 2, FALSE), E491&amp;" (NOT FOUND)")</f>
        <v>Funke Ajayi</v>
      </c>
      <c r="G491" t="s">
        <v>26</v>
      </c>
      <c r="H491" t="s">
        <v>52</v>
      </c>
      <c r="J491">
        <v>1444.22</v>
      </c>
      <c r="K491" t="s">
        <v>894</v>
      </c>
      <c r="L491" t="s">
        <v>20</v>
      </c>
      <c r="M491" t="s">
        <v>84</v>
      </c>
      <c r="N491" t="str">
        <f t="shared" si="7"/>
        <v/>
      </c>
      <c r="O491" t="s">
        <v>894</v>
      </c>
    </row>
    <row r="492" spans="1:15" x14ac:dyDescent="0.35">
      <c r="A492">
        <v>5294</v>
      </c>
      <c r="B492" t="s">
        <v>32</v>
      </c>
      <c r="C492" t="str">
        <f>IFERROR(VLOOKUP(B492,Branches!A:B, 2, FALSE), B492&amp;"(NOT FOUND)")</f>
        <v>Wuse Branch</v>
      </c>
      <c r="D492" s="1">
        <v>45500</v>
      </c>
      <c r="E492" t="s">
        <v>76</v>
      </c>
      <c r="F492" t="str">
        <f>IFERROR(VLOOKUP(E492, Staff!A:B, 2, FALSE), E492&amp;" (NOT FOUND)")</f>
        <v>Chika Nwankwo</v>
      </c>
      <c r="G492" t="s">
        <v>16</v>
      </c>
      <c r="H492" t="s">
        <v>42</v>
      </c>
      <c r="J492">
        <v>6509.34</v>
      </c>
      <c r="K492">
        <v>0</v>
      </c>
      <c r="L492" t="s">
        <v>20</v>
      </c>
      <c r="M492" t="s">
        <v>84</v>
      </c>
      <c r="N492" t="str">
        <f t="shared" si="7"/>
        <v/>
      </c>
      <c r="O492" t="s">
        <v>896</v>
      </c>
    </row>
    <row r="493" spans="1:15" x14ac:dyDescent="0.35">
      <c r="A493">
        <v>5331</v>
      </c>
      <c r="B493" t="s">
        <v>88</v>
      </c>
      <c r="C493" t="str">
        <f>IFERROR(VLOOKUP(B493,Branches!A:B, 2, FALSE), B493&amp;"(NOT FOUND)")</f>
        <v>Lekki Branch</v>
      </c>
      <c r="D493" s="1">
        <v>45474</v>
      </c>
      <c r="E493" t="s">
        <v>57</v>
      </c>
      <c r="F493" t="str">
        <f>IFERROR(VLOOKUP(E493, Staff!A:B, 2, FALSE), E493&amp;" (NOT FOUND)")</f>
        <v>Kelechi Umeh</v>
      </c>
      <c r="G493" t="s">
        <v>16</v>
      </c>
      <c r="H493" t="s">
        <v>42</v>
      </c>
      <c r="I493">
        <v>5</v>
      </c>
      <c r="J493">
        <v>31344.46</v>
      </c>
      <c r="K493" t="s">
        <v>894</v>
      </c>
      <c r="L493" t="s">
        <v>20</v>
      </c>
      <c r="M493" t="s">
        <v>84</v>
      </c>
      <c r="N493">
        <f t="shared" si="7"/>
        <v>156722.29999999999</v>
      </c>
      <c r="O493" t="s">
        <v>896</v>
      </c>
    </row>
    <row r="494" spans="1:15" x14ac:dyDescent="0.35">
      <c r="A494">
        <v>5328</v>
      </c>
      <c r="B494" t="s">
        <v>74</v>
      </c>
      <c r="C494" t="str">
        <f>IFERROR(VLOOKUP(B494,Branches!A:B, 2, FALSE), B494&amp;"(NOT FOUND)")</f>
        <v>Bodija Branch</v>
      </c>
      <c r="D494" s="1">
        <v>45306</v>
      </c>
      <c r="E494" t="s">
        <v>25</v>
      </c>
      <c r="F494" t="str">
        <f>IFERROR(VLOOKUP(E494, Staff!A:B, 2, FALSE), E494&amp;" (NOT FOUND)")</f>
        <v>Tobi Adewale</v>
      </c>
      <c r="G494" t="s">
        <v>64</v>
      </c>
      <c r="H494" t="s">
        <v>77</v>
      </c>
      <c r="I494">
        <v>2</v>
      </c>
      <c r="J494">
        <v>22690.86</v>
      </c>
      <c r="K494">
        <v>15</v>
      </c>
      <c r="L494" t="s">
        <v>20</v>
      </c>
      <c r="M494" t="s">
        <v>38</v>
      </c>
      <c r="N494">
        <f t="shared" si="7"/>
        <v>38574.462</v>
      </c>
      <c r="O494" t="s">
        <v>895</v>
      </c>
    </row>
    <row r="495" spans="1:15" x14ac:dyDescent="0.35">
      <c r="A495">
        <v>5155</v>
      </c>
      <c r="B495" t="s">
        <v>129</v>
      </c>
      <c r="C495" t="str">
        <f>IFERROR(VLOOKUP(B495,Branches!A:B, 2, FALSE), B495&amp;"(NOT FOUND)")</f>
        <v>Sabon Gari Branch</v>
      </c>
      <c r="D495" s="1">
        <v>45497</v>
      </c>
      <c r="E495" t="s">
        <v>51</v>
      </c>
      <c r="F495" t="str">
        <f>IFERROR(VLOOKUP(E495, Staff!A:B, 2, FALSE), E495&amp;" (NOT FOUND)")</f>
        <v>Halima Yusuf</v>
      </c>
      <c r="G495" t="s">
        <v>16</v>
      </c>
      <c r="H495" t="s">
        <v>42</v>
      </c>
      <c r="J495">
        <v>31247.43</v>
      </c>
      <c r="K495" t="s">
        <v>894</v>
      </c>
      <c r="L495" t="s">
        <v>60</v>
      </c>
      <c r="M495" t="s">
        <v>38</v>
      </c>
      <c r="N495" t="str">
        <f t="shared" si="7"/>
        <v/>
      </c>
      <c r="O495" t="s">
        <v>894</v>
      </c>
    </row>
    <row r="496" spans="1:15" x14ac:dyDescent="0.35">
      <c r="A496">
        <v>5017</v>
      </c>
      <c r="B496" t="s">
        <v>32</v>
      </c>
      <c r="C496" t="str">
        <f>IFERROR(VLOOKUP(B496,Branches!A:B, 2, FALSE), B496&amp;"(NOT FOUND)")</f>
        <v>Wuse Branch</v>
      </c>
      <c r="D496" s="1">
        <v>45301</v>
      </c>
      <c r="E496" t="s">
        <v>15</v>
      </c>
      <c r="F496" t="str">
        <f>IFERROR(VLOOKUP(E496, Staff!A:B, 2, FALSE), E496&amp;" (NOT FOUND)")</f>
        <v>Ibrahim Sani</v>
      </c>
      <c r="G496" t="s">
        <v>26</v>
      </c>
      <c r="H496" t="s">
        <v>112</v>
      </c>
      <c r="I496">
        <v>5</v>
      </c>
      <c r="J496">
        <v>19217.96</v>
      </c>
      <c r="K496" t="s">
        <v>894</v>
      </c>
      <c r="L496" t="s">
        <v>20</v>
      </c>
      <c r="M496" t="s">
        <v>84</v>
      </c>
      <c r="N496">
        <f t="shared" si="7"/>
        <v>96089.799999999988</v>
      </c>
      <c r="O496" t="s">
        <v>896</v>
      </c>
    </row>
    <row r="497" spans="1:15" x14ac:dyDescent="0.35">
      <c r="A497">
        <v>5440</v>
      </c>
      <c r="B497" t="s">
        <v>74</v>
      </c>
      <c r="C497" t="str">
        <f>IFERROR(VLOOKUP(B497,Branches!A:B, 2, FALSE), B497&amp;"(NOT FOUND)")</f>
        <v>Bodija Branch</v>
      </c>
      <c r="D497" s="1">
        <v>45427</v>
      </c>
      <c r="E497" t="s">
        <v>57</v>
      </c>
      <c r="F497" t="str">
        <f>IFERROR(VLOOKUP(E497, Staff!A:B, 2, FALSE), E497&amp;" (NOT FOUND)")</f>
        <v>Kelechi Umeh</v>
      </c>
      <c r="G497" t="s">
        <v>64</v>
      </c>
      <c r="H497" t="s">
        <v>65</v>
      </c>
      <c r="I497">
        <v>3</v>
      </c>
      <c r="J497">
        <v>44935.18</v>
      </c>
      <c r="K497">
        <v>5</v>
      </c>
      <c r="L497" t="s">
        <v>20</v>
      </c>
      <c r="M497" t="s">
        <v>84</v>
      </c>
      <c r="N497">
        <f t="shared" si="7"/>
        <v>128065.26300000001</v>
      </c>
      <c r="O497" t="s">
        <v>895</v>
      </c>
    </row>
    <row r="498" spans="1:15" x14ac:dyDescent="0.35">
      <c r="A498">
        <v>5132</v>
      </c>
      <c r="B498" t="s">
        <v>102</v>
      </c>
      <c r="C498" t="str">
        <f>IFERROR(VLOOKUP(B498,Branches!A:B, 2, FALSE), B498&amp;"(NOT FOUND)")</f>
        <v>GRA Branch</v>
      </c>
      <c r="D498" s="1">
        <v>45524</v>
      </c>
      <c r="E498" t="s">
        <v>76</v>
      </c>
      <c r="F498" t="str">
        <f>IFERROR(VLOOKUP(E498, Staff!A:B, 2, FALSE), E498&amp;" (NOT FOUND)")</f>
        <v>Chika Nwankwo</v>
      </c>
      <c r="G498" t="s">
        <v>64</v>
      </c>
      <c r="H498" t="s">
        <v>133</v>
      </c>
      <c r="I498">
        <v>1</v>
      </c>
      <c r="J498">
        <v>14933.59</v>
      </c>
      <c r="K498">
        <v>5</v>
      </c>
      <c r="L498" t="s">
        <v>20</v>
      </c>
      <c r="M498" t="s">
        <v>84</v>
      </c>
      <c r="N498">
        <f t="shared" si="7"/>
        <v>14186.9105</v>
      </c>
      <c r="O498" t="s">
        <v>895</v>
      </c>
    </row>
    <row r="499" spans="1:15" x14ac:dyDescent="0.35">
      <c r="A499">
        <v>5265</v>
      </c>
      <c r="B499" t="s">
        <v>88</v>
      </c>
      <c r="C499" t="str">
        <f>IFERROR(VLOOKUP(B499,Branches!A:B, 2, FALSE), B499&amp;"(NOT FOUND)")</f>
        <v>Lekki Branch</v>
      </c>
      <c r="D499" s="1">
        <v>45422</v>
      </c>
      <c r="E499" t="s">
        <v>98</v>
      </c>
      <c r="F499" t="str">
        <f>IFERROR(VLOOKUP(E499, Staff!A:B, 2, FALSE), E499&amp;" (NOT FOUND)")</f>
        <v>S100 (NOT FOUND)</v>
      </c>
      <c r="G499" t="s">
        <v>16</v>
      </c>
      <c r="H499" t="s">
        <v>109</v>
      </c>
      <c r="J499">
        <v>22469.34</v>
      </c>
      <c r="K499" t="s">
        <v>894</v>
      </c>
      <c r="L499" t="s">
        <v>60</v>
      </c>
      <c r="M499" t="s">
        <v>38</v>
      </c>
      <c r="N499" t="str">
        <f t="shared" si="7"/>
        <v/>
      </c>
      <c r="O499" t="s">
        <v>896</v>
      </c>
    </row>
    <row r="500" spans="1:15" x14ac:dyDescent="0.35">
      <c r="A500">
        <v>5112</v>
      </c>
      <c r="B500" t="s">
        <v>74</v>
      </c>
      <c r="C500" t="str">
        <f>IFERROR(VLOOKUP(B500,Branches!A:B, 2, FALSE), B500&amp;"(NOT FOUND)")</f>
        <v>Bodija Branch</v>
      </c>
      <c r="D500" s="1">
        <v>45397</v>
      </c>
      <c r="E500" t="s">
        <v>25</v>
      </c>
      <c r="F500" t="str">
        <f>IFERROR(VLOOKUP(E500, Staff!A:B, 2, FALSE), E500&amp;" (NOT FOUND)")</f>
        <v>Tobi Adewale</v>
      </c>
      <c r="G500" t="s">
        <v>26</v>
      </c>
      <c r="H500" t="s">
        <v>27</v>
      </c>
      <c r="J500">
        <v>41961.66</v>
      </c>
      <c r="K500" t="s">
        <v>894</v>
      </c>
      <c r="L500" t="s">
        <v>60</v>
      </c>
      <c r="M500" t="s">
        <v>84</v>
      </c>
      <c r="N500" t="str">
        <f t="shared" si="7"/>
        <v/>
      </c>
      <c r="O500" t="s">
        <v>895</v>
      </c>
    </row>
    <row r="501" spans="1:15" x14ac:dyDescent="0.35">
      <c r="A501">
        <v>5060</v>
      </c>
      <c r="B501" t="s">
        <v>32</v>
      </c>
      <c r="C501" t="str">
        <f>IFERROR(VLOOKUP(B501,Branches!A:B, 2, FALSE), B501&amp;"(NOT FOUND)")</f>
        <v>Wuse Branch</v>
      </c>
      <c r="D501" s="1">
        <v>45375</v>
      </c>
      <c r="E501" t="s">
        <v>86</v>
      </c>
      <c r="F501" t="str">
        <f>IFERROR(VLOOKUP(E501, Staff!A:B, 2, FALSE), E501&amp;" (NOT FOUND)")</f>
        <v>Ekene Obi</v>
      </c>
      <c r="G501" t="s">
        <v>16</v>
      </c>
      <c r="H501" t="s">
        <v>17</v>
      </c>
      <c r="I501">
        <v>1</v>
      </c>
      <c r="J501">
        <v>18663.57</v>
      </c>
      <c r="K501" t="s">
        <v>894</v>
      </c>
      <c r="L501" t="s">
        <v>20</v>
      </c>
      <c r="M501" t="s">
        <v>38</v>
      </c>
      <c r="N501">
        <f t="shared" si="7"/>
        <v>18663.57</v>
      </c>
      <c r="O501" t="s">
        <v>895</v>
      </c>
    </row>
    <row r="502" spans="1:15" x14ac:dyDescent="0.35">
      <c r="A502">
        <v>5053</v>
      </c>
      <c r="B502" t="s">
        <v>74</v>
      </c>
      <c r="C502" t="str">
        <f>IFERROR(VLOOKUP(B502,Branches!A:B, 2, FALSE), B502&amp;"(NOT FOUND)")</f>
        <v>Bodija Branch</v>
      </c>
      <c r="D502" s="1">
        <v>45530</v>
      </c>
      <c r="E502" t="s">
        <v>15</v>
      </c>
      <c r="F502" t="str">
        <f>IFERROR(VLOOKUP(E502, Staff!A:B, 2, FALSE), E502&amp;" (NOT FOUND)")</f>
        <v>Ibrahim Sani</v>
      </c>
      <c r="G502" t="s">
        <v>64</v>
      </c>
      <c r="H502" t="s">
        <v>141</v>
      </c>
      <c r="J502">
        <v>34126.53</v>
      </c>
      <c r="K502">
        <v>10</v>
      </c>
      <c r="L502" t="s">
        <v>47</v>
      </c>
      <c r="M502" t="s">
        <v>38</v>
      </c>
      <c r="N502" t="str">
        <f t="shared" si="7"/>
        <v/>
      </c>
      <c r="O502" t="s">
        <v>895</v>
      </c>
    </row>
    <row r="503" spans="1:15" x14ac:dyDescent="0.35">
      <c r="A503">
        <v>5194</v>
      </c>
      <c r="B503" t="s">
        <v>129</v>
      </c>
      <c r="C503" t="str">
        <f>IFERROR(VLOOKUP(B503,Branches!A:B, 2, FALSE), B503&amp;"(NOT FOUND)")</f>
        <v>Sabon Gari Branch</v>
      </c>
      <c r="D503" s="1">
        <v>45410</v>
      </c>
      <c r="E503" t="s">
        <v>15</v>
      </c>
      <c r="F503" t="str">
        <f>IFERROR(VLOOKUP(E503, Staff!A:B, 2, FALSE), E503&amp;" (NOT FOUND)")</f>
        <v>Ibrahim Sani</v>
      </c>
      <c r="G503" t="s">
        <v>26</v>
      </c>
      <c r="H503" t="s">
        <v>46</v>
      </c>
      <c r="I503">
        <v>1</v>
      </c>
      <c r="J503">
        <v>26544.69</v>
      </c>
      <c r="K503">
        <v>10</v>
      </c>
      <c r="L503" t="s">
        <v>20</v>
      </c>
      <c r="M503" t="s">
        <v>84</v>
      </c>
      <c r="N503">
        <f t="shared" si="7"/>
        <v>23890.220999999998</v>
      </c>
      <c r="O503" t="s">
        <v>896</v>
      </c>
    </row>
    <row r="504" spans="1:15" x14ac:dyDescent="0.35">
      <c r="A504">
        <v>5300</v>
      </c>
      <c r="B504" t="s">
        <v>88</v>
      </c>
      <c r="C504" t="str">
        <f>IFERROR(VLOOKUP(B504,Branches!A:B, 2, FALSE), B504&amp;"(NOT FOUND)")</f>
        <v>Lekki Branch</v>
      </c>
      <c r="D504" s="1">
        <v>45305</v>
      </c>
      <c r="E504" t="s">
        <v>15</v>
      </c>
      <c r="F504" t="str">
        <f>IFERROR(VLOOKUP(E504, Staff!A:B, 2, FALSE), E504&amp;" (NOT FOUND)")</f>
        <v>Ibrahim Sani</v>
      </c>
      <c r="G504" t="s">
        <v>26</v>
      </c>
      <c r="H504" t="s">
        <v>27</v>
      </c>
      <c r="I504">
        <v>2</v>
      </c>
      <c r="J504">
        <v>32960.15</v>
      </c>
      <c r="K504">
        <v>10</v>
      </c>
      <c r="L504" t="s">
        <v>20</v>
      </c>
      <c r="M504" t="s">
        <v>38</v>
      </c>
      <c r="N504">
        <f t="shared" si="7"/>
        <v>59328.270000000004</v>
      </c>
      <c r="O504" t="s">
        <v>896</v>
      </c>
    </row>
    <row r="505" spans="1:15" x14ac:dyDescent="0.35">
      <c r="A505">
        <v>5236</v>
      </c>
      <c r="B505" t="s">
        <v>102</v>
      </c>
      <c r="C505" t="str">
        <f>IFERROR(VLOOKUP(B505,Branches!A:B, 2, FALSE), B505&amp;"(NOT FOUND)")</f>
        <v>GRA Branch</v>
      </c>
      <c r="D505" s="1">
        <v>45457</v>
      </c>
      <c r="E505" t="s">
        <v>76</v>
      </c>
      <c r="F505" t="str">
        <f>IFERROR(VLOOKUP(E505, Staff!A:B, 2, FALSE), E505&amp;" (NOT FOUND)")</f>
        <v>Chika Nwankwo</v>
      </c>
      <c r="G505" t="s">
        <v>26</v>
      </c>
      <c r="H505" t="s">
        <v>112</v>
      </c>
      <c r="J505" t="s">
        <v>894</v>
      </c>
      <c r="K505">
        <v>15</v>
      </c>
      <c r="L505" t="s">
        <v>47</v>
      </c>
      <c r="M505" t="s">
        <v>84</v>
      </c>
      <c r="N505" t="str">
        <f t="shared" si="7"/>
        <v/>
      </c>
      <c r="O505" t="s">
        <v>895</v>
      </c>
    </row>
    <row r="506" spans="1:15" x14ac:dyDescent="0.35">
      <c r="A506">
        <v>5349</v>
      </c>
      <c r="B506" t="s">
        <v>32</v>
      </c>
      <c r="C506" t="str">
        <f>IFERROR(VLOOKUP(B506,Branches!A:B, 2, FALSE), B506&amp;"(NOT FOUND)")</f>
        <v>Wuse Branch</v>
      </c>
      <c r="D506" s="1">
        <v>45491</v>
      </c>
      <c r="E506" t="s">
        <v>86</v>
      </c>
      <c r="F506" t="str">
        <f>IFERROR(VLOOKUP(E506, Staff!A:B, 2, FALSE), E506&amp;" (NOT FOUND)")</f>
        <v>Ekene Obi</v>
      </c>
      <c r="G506" t="s">
        <v>35</v>
      </c>
      <c r="H506" t="s">
        <v>36</v>
      </c>
      <c r="I506">
        <v>1</v>
      </c>
      <c r="J506" t="s">
        <v>894</v>
      </c>
      <c r="K506" t="s">
        <v>894</v>
      </c>
      <c r="L506" t="s">
        <v>47</v>
      </c>
      <c r="M506" t="s">
        <v>38</v>
      </c>
      <c r="N506" t="str">
        <f t="shared" si="7"/>
        <v/>
      </c>
      <c r="O506" t="s">
        <v>895</v>
      </c>
    </row>
    <row r="507" spans="1:15" x14ac:dyDescent="0.35">
      <c r="A507">
        <v>5046</v>
      </c>
      <c r="B507" t="s">
        <v>74</v>
      </c>
      <c r="C507" t="str">
        <f>IFERROR(VLOOKUP(B507,Branches!A:B, 2, FALSE), B507&amp;"(NOT FOUND)")</f>
        <v>Bodija Branch</v>
      </c>
      <c r="D507" s="1">
        <v>45449</v>
      </c>
      <c r="E507" t="s">
        <v>98</v>
      </c>
      <c r="F507" t="str">
        <f>IFERROR(VLOOKUP(E507, Staff!A:B, 2, FALSE), E507&amp;" (NOT FOUND)")</f>
        <v>S100 (NOT FOUND)</v>
      </c>
      <c r="G507" t="s">
        <v>26</v>
      </c>
      <c r="H507" t="s">
        <v>46</v>
      </c>
      <c r="J507">
        <v>37853.800000000003</v>
      </c>
      <c r="K507" t="s">
        <v>894</v>
      </c>
      <c r="L507" t="s">
        <v>47</v>
      </c>
      <c r="M507" t="s">
        <v>38</v>
      </c>
      <c r="N507" t="str">
        <f t="shared" si="7"/>
        <v/>
      </c>
      <c r="O507" t="s">
        <v>895</v>
      </c>
    </row>
    <row r="508" spans="1:15" x14ac:dyDescent="0.35">
      <c r="A508">
        <v>5403</v>
      </c>
      <c r="B508" t="s">
        <v>129</v>
      </c>
      <c r="C508" t="str">
        <f>IFERROR(VLOOKUP(B508,Branches!A:B, 2, FALSE), B508&amp;"(NOT FOUND)")</f>
        <v>Sabon Gari Branch</v>
      </c>
      <c r="D508" s="1">
        <v>45497</v>
      </c>
      <c r="E508" t="s">
        <v>25</v>
      </c>
      <c r="F508" t="str">
        <f>IFERROR(VLOOKUP(E508, Staff!A:B, 2, FALSE), E508&amp;" (NOT FOUND)")</f>
        <v>Tobi Adewale</v>
      </c>
      <c r="G508" t="s">
        <v>16</v>
      </c>
      <c r="H508" t="s">
        <v>42</v>
      </c>
      <c r="I508">
        <v>2</v>
      </c>
      <c r="J508" t="s">
        <v>894</v>
      </c>
      <c r="K508" t="s">
        <v>894</v>
      </c>
      <c r="L508" t="s">
        <v>20</v>
      </c>
      <c r="M508" t="s">
        <v>38</v>
      </c>
      <c r="N508" t="str">
        <f t="shared" si="7"/>
        <v/>
      </c>
      <c r="O508" t="s">
        <v>895</v>
      </c>
    </row>
    <row r="509" spans="1:15" x14ac:dyDescent="0.35">
      <c r="A509">
        <v>5118</v>
      </c>
      <c r="B509" t="s">
        <v>74</v>
      </c>
      <c r="C509" t="str">
        <f>IFERROR(VLOOKUP(B509,Branches!A:B, 2, FALSE), B509&amp;"(NOT FOUND)")</f>
        <v>Bodija Branch</v>
      </c>
      <c r="D509" s="1">
        <v>45393</v>
      </c>
      <c r="E509" t="s">
        <v>76</v>
      </c>
      <c r="F509" t="str">
        <f>IFERROR(VLOOKUP(E509, Staff!A:B, 2, FALSE), E509&amp;" (NOT FOUND)")</f>
        <v>Chika Nwankwo</v>
      </c>
      <c r="G509" t="s">
        <v>64</v>
      </c>
      <c r="H509" t="s">
        <v>116</v>
      </c>
      <c r="J509">
        <v>34393.42</v>
      </c>
      <c r="K509">
        <v>5</v>
      </c>
      <c r="L509" t="s">
        <v>47</v>
      </c>
      <c r="M509" t="s">
        <v>84</v>
      </c>
      <c r="N509" t="str">
        <f t="shared" si="7"/>
        <v/>
      </c>
      <c r="O509" t="s">
        <v>896</v>
      </c>
    </row>
  </sheetData>
  <conditionalFormatting sqref="B1:C1048576">
    <cfRule type="cellIs" dxfId="5" priority="5" operator="between">
      <formula>"brxx"</formula>
      <formula>"brxx"</formula>
    </cfRule>
    <cfRule type="cellIs" dxfId="4" priority="6" operator="between">
      <formula>"brxx"</formula>
      <formula>"brxx"</formula>
    </cfRule>
  </conditionalFormatting>
  <conditionalFormatting sqref="F1:F1048576">
    <cfRule type="containsText" dxfId="3" priority="4" operator="containsText" text="NON PAR">
      <formula>NOT(ISERROR(SEARCH("NON PAR",F1)))</formula>
    </cfRule>
  </conditionalFormatting>
  <conditionalFormatting sqref="F2:F509">
    <cfRule type="containsText" dxfId="2" priority="2" operator="containsText" text="not">
      <formula>NOT(ISERROR(SEARCH("not",F2)))</formula>
    </cfRule>
    <cfRule type="cellIs" dxfId="1" priority="3" operator="equal">
      <formula>"not found"</formula>
    </cfRule>
  </conditionalFormatting>
  <conditionalFormatting sqref="C1:C1048576">
    <cfRule type="containsText" dxfId="0" priority="1" operator="containsText" text="no">
      <formula>NOT(ISERROR(SEARCH("no",C1)))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workbookViewId="0">
      <selection activeCell="B22" sqref="B22"/>
    </sheetView>
  </sheetViews>
  <sheetFormatPr defaultRowHeight="14.5" x14ac:dyDescent="0.35"/>
  <cols>
    <col min="1" max="1" width="12.36328125" customWidth="1"/>
    <col min="2" max="2" width="16.54296875" customWidth="1"/>
    <col min="3" max="3" width="15.81640625" customWidth="1"/>
    <col min="5" max="5" width="13.90625" customWidth="1"/>
    <col min="6" max="6" width="12.7265625" bestFit="1" customWidth="1"/>
    <col min="7" max="7" width="11.7265625" bestFit="1" customWidth="1"/>
    <col min="9" max="9" width="10.90625" customWidth="1"/>
    <col min="13" max="13" width="14.26953125" customWidth="1"/>
    <col min="14" max="15" width="15.81640625" customWidth="1"/>
  </cols>
  <sheetData>
    <row r="1" spans="1:14" x14ac:dyDescent="0.35">
      <c r="B1" t="s">
        <v>903</v>
      </c>
      <c r="M1" t="s">
        <v>904</v>
      </c>
    </row>
    <row r="2" spans="1:14" x14ac:dyDescent="0.35">
      <c r="A2" s="4"/>
      <c r="B2" s="3" t="s">
        <v>899</v>
      </c>
      <c r="C2" t="s">
        <v>901</v>
      </c>
      <c r="M2" s="3" t="s">
        <v>899</v>
      </c>
      <c r="N2" t="s">
        <v>901</v>
      </c>
    </row>
    <row r="3" spans="1:14" x14ac:dyDescent="0.35">
      <c r="A3" s="4"/>
      <c r="B3" s="4" t="s">
        <v>870</v>
      </c>
      <c r="C3" s="2">
        <v>3652522.88</v>
      </c>
      <c r="M3" s="4" t="s">
        <v>16</v>
      </c>
      <c r="N3" s="2">
        <v>5633411.8559999997</v>
      </c>
    </row>
    <row r="4" spans="1:14" x14ac:dyDescent="0.35">
      <c r="A4" s="4"/>
      <c r="B4" s="4" t="s">
        <v>866</v>
      </c>
      <c r="C4" s="2">
        <v>2623758.5310000009</v>
      </c>
      <c r="M4" s="4" t="s">
        <v>35</v>
      </c>
      <c r="N4" s="2">
        <v>4074959.1489999993</v>
      </c>
    </row>
    <row r="5" spans="1:14" x14ac:dyDescent="0.35">
      <c r="A5" s="4"/>
      <c r="B5" s="4" t="s">
        <v>862</v>
      </c>
      <c r="C5" s="2">
        <v>4225729.7579999994</v>
      </c>
      <c r="M5" s="4" t="s">
        <v>26</v>
      </c>
      <c r="N5" s="2">
        <v>3034480.4749999992</v>
      </c>
    </row>
    <row r="6" spans="1:14" x14ac:dyDescent="0.35">
      <c r="A6" s="4"/>
      <c r="B6" s="4" t="s">
        <v>868</v>
      </c>
      <c r="C6" s="2">
        <v>2742787.5929999999</v>
      </c>
      <c r="M6" s="4" t="s">
        <v>64</v>
      </c>
      <c r="N6" s="2">
        <v>4694020.9140000017</v>
      </c>
    </row>
    <row r="7" spans="1:14" x14ac:dyDescent="0.35">
      <c r="A7" s="4"/>
      <c r="B7" s="4" t="s">
        <v>864</v>
      </c>
      <c r="C7" s="2">
        <v>3915249.7909999997</v>
      </c>
      <c r="M7" s="4" t="s">
        <v>900</v>
      </c>
      <c r="N7" s="2">
        <v>17436872.394000001</v>
      </c>
    </row>
    <row r="8" spans="1:14" x14ac:dyDescent="0.35">
      <c r="A8" s="4"/>
      <c r="B8" s="4" t="s">
        <v>911</v>
      </c>
      <c r="C8" s="2">
        <v>72170.34</v>
      </c>
    </row>
    <row r="9" spans="1:14" x14ac:dyDescent="0.35">
      <c r="A9" s="4"/>
      <c r="B9" s="4" t="s">
        <v>912</v>
      </c>
      <c r="C9" s="2">
        <v>0</v>
      </c>
    </row>
    <row r="10" spans="1:14" x14ac:dyDescent="0.35">
      <c r="A10" s="4"/>
      <c r="B10" s="4" t="s">
        <v>913</v>
      </c>
      <c r="C10" s="2">
        <v>204653.50100000002</v>
      </c>
    </row>
    <row r="11" spans="1:14" x14ac:dyDescent="0.35">
      <c r="B11" s="4" t="s">
        <v>900</v>
      </c>
      <c r="C11" s="2">
        <v>17436872.393999998</v>
      </c>
    </row>
    <row r="17" spans="2:15" x14ac:dyDescent="0.35">
      <c r="B17" t="s">
        <v>905</v>
      </c>
      <c r="E17" t="s">
        <v>907</v>
      </c>
    </row>
    <row r="18" spans="2:15" x14ac:dyDescent="0.35">
      <c r="B18" s="3" t="s">
        <v>899</v>
      </c>
      <c r="C18" t="s">
        <v>901</v>
      </c>
      <c r="E18" t="s">
        <v>61</v>
      </c>
    </row>
    <row r="19" spans="2:15" x14ac:dyDescent="0.35">
      <c r="B19" s="4" t="s">
        <v>874</v>
      </c>
      <c r="C19" s="5">
        <v>0.11509029149003475</v>
      </c>
      <c r="E19">
        <f>AVERAGEIF(Cleaned_Transactions!M:M, "NEW",  Cleaned_Transactions!N:N)</f>
        <v>60077.227125000005</v>
      </c>
    </row>
    <row r="20" spans="2:15" x14ac:dyDescent="0.35">
      <c r="B20" s="4" t="s">
        <v>878</v>
      </c>
      <c r="C20" s="5">
        <v>0.14585285348392629</v>
      </c>
      <c r="E20" t="s">
        <v>21</v>
      </c>
    </row>
    <row r="21" spans="2:15" x14ac:dyDescent="0.35">
      <c r="B21" s="4" t="s">
        <v>879</v>
      </c>
      <c r="C21" s="5">
        <v>0.11734203077061295</v>
      </c>
      <c r="E21">
        <f>AVERAGEIF(Cleaned_Transactions!M:M, "RETURNING", Cleaned_Transactions!N:N)</f>
        <v>65143.981777070068</v>
      </c>
    </row>
    <row r="22" spans="2:15" x14ac:dyDescent="0.35">
      <c r="B22" s="4" t="s">
        <v>877</v>
      </c>
      <c r="C22" s="5">
        <v>0.11757612593445699</v>
      </c>
      <c r="E22" s="5"/>
    </row>
    <row r="23" spans="2:15" x14ac:dyDescent="0.35">
      <c r="B23" s="4" t="s">
        <v>880</v>
      </c>
      <c r="C23" s="5">
        <v>0.12698751627969276</v>
      </c>
      <c r="N23" s="3" t="s">
        <v>899</v>
      </c>
      <c r="O23" t="s">
        <v>901</v>
      </c>
    </row>
    <row r="24" spans="2:15" x14ac:dyDescent="0.35">
      <c r="B24" s="4" t="s">
        <v>881</v>
      </c>
      <c r="C24" s="5">
        <v>0.1004582532875993</v>
      </c>
      <c r="N24" s="4"/>
      <c r="O24" s="2">
        <v>1962718.3744999999</v>
      </c>
    </row>
    <row r="25" spans="2:15" x14ac:dyDescent="0.35">
      <c r="B25" s="4" t="s">
        <v>882</v>
      </c>
      <c r="C25" s="5">
        <v>0.1540828551010385</v>
      </c>
      <c r="N25" s="4" t="s">
        <v>895</v>
      </c>
      <c r="O25" s="2">
        <v>7902444.6715000048</v>
      </c>
    </row>
    <row r="26" spans="2:15" x14ac:dyDescent="0.35">
      <c r="B26" s="4" t="s">
        <v>876</v>
      </c>
      <c r="C26" s="5">
        <v>0.10223179746462968</v>
      </c>
      <c r="N26" s="4" t="s">
        <v>896</v>
      </c>
      <c r="O26" s="2">
        <v>7571709.3479999965</v>
      </c>
    </row>
    <row r="27" spans="2:15" x14ac:dyDescent="0.35">
      <c r="B27" s="4" t="s">
        <v>908</v>
      </c>
      <c r="C27" s="5">
        <v>2.6249919690729605E-3</v>
      </c>
      <c r="N27" s="4" t="s">
        <v>900</v>
      </c>
      <c r="O27" s="2">
        <v>17436872.394000001</v>
      </c>
    </row>
    <row r="28" spans="2:15" x14ac:dyDescent="0.35">
      <c r="B28" s="4" t="s">
        <v>909</v>
      </c>
      <c r="C28" s="5">
        <v>1.4373226220674723E-2</v>
      </c>
    </row>
    <row r="29" spans="2:15" x14ac:dyDescent="0.35">
      <c r="B29" s="4" t="s">
        <v>910</v>
      </c>
      <c r="C29" s="5">
        <v>3.3800579982612225E-3</v>
      </c>
    </row>
    <row r="30" spans="2:15" x14ac:dyDescent="0.35">
      <c r="B30" s="4" t="s">
        <v>900</v>
      </c>
      <c r="C30" s="5">
        <v>1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22" sqref="C22"/>
    </sheetView>
  </sheetViews>
  <sheetFormatPr defaultRowHeight="14.5" x14ac:dyDescent="0.35"/>
  <cols>
    <col min="2" max="2" width="16.26953125" bestFit="1" customWidth="1"/>
    <col min="3" max="3" width="12.08984375" bestFit="1" customWidth="1"/>
  </cols>
  <sheetData>
    <row r="1" spans="1:3" x14ac:dyDescent="0.35">
      <c r="A1" t="s">
        <v>1</v>
      </c>
      <c r="B1" t="s">
        <v>860</v>
      </c>
      <c r="C1" t="s">
        <v>861</v>
      </c>
    </row>
    <row r="2" spans="1:3" x14ac:dyDescent="0.35">
      <c r="A2" t="s">
        <v>88</v>
      </c>
      <c r="B2" t="s">
        <v>862</v>
      </c>
      <c r="C2" t="s">
        <v>863</v>
      </c>
    </row>
    <row r="3" spans="1:3" x14ac:dyDescent="0.35">
      <c r="A3" t="s">
        <v>32</v>
      </c>
      <c r="B3" t="s">
        <v>864</v>
      </c>
      <c r="C3" t="s">
        <v>865</v>
      </c>
    </row>
    <row r="4" spans="1:3" x14ac:dyDescent="0.35">
      <c r="A4" t="s">
        <v>102</v>
      </c>
      <c r="B4" t="s">
        <v>866</v>
      </c>
      <c r="C4" t="s">
        <v>867</v>
      </c>
    </row>
    <row r="5" spans="1:3" x14ac:dyDescent="0.35">
      <c r="A5" t="s">
        <v>129</v>
      </c>
      <c r="B5" t="s">
        <v>868</v>
      </c>
      <c r="C5" t="s">
        <v>869</v>
      </c>
    </row>
    <row r="6" spans="1:3" x14ac:dyDescent="0.35">
      <c r="A6" t="s">
        <v>74</v>
      </c>
      <c r="B6" t="s">
        <v>870</v>
      </c>
      <c r="C6" t="s">
        <v>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G13" sqref="G13"/>
    </sheetView>
  </sheetViews>
  <sheetFormatPr defaultRowHeight="14.5" x14ac:dyDescent="0.35"/>
  <cols>
    <col min="2" max="2" width="14.1796875" bestFit="1" customWidth="1"/>
    <col min="3" max="3" width="10.7265625" bestFit="1" customWidth="1"/>
    <col min="5" max="5" width="14.1796875" customWidth="1"/>
    <col min="6" max="6" width="15.81640625" customWidth="1"/>
  </cols>
  <sheetData>
    <row r="1" spans="1:6" x14ac:dyDescent="0.35">
      <c r="A1" t="s">
        <v>3</v>
      </c>
      <c r="B1" t="s">
        <v>872</v>
      </c>
      <c r="C1" t="s">
        <v>873</v>
      </c>
    </row>
    <row r="2" spans="1:6" x14ac:dyDescent="0.35">
      <c r="A2" t="s">
        <v>76</v>
      </c>
      <c r="B2" t="s">
        <v>874</v>
      </c>
      <c r="C2" t="s">
        <v>875</v>
      </c>
    </row>
    <row r="3" spans="1:6" x14ac:dyDescent="0.35">
      <c r="A3" t="s">
        <v>25</v>
      </c>
      <c r="B3" t="s">
        <v>876</v>
      </c>
      <c r="C3" t="s">
        <v>875</v>
      </c>
      <c r="E3" s="4"/>
      <c r="F3" s="2"/>
    </row>
    <row r="4" spans="1:6" x14ac:dyDescent="0.35">
      <c r="A4" t="s">
        <v>51</v>
      </c>
      <c r="B4" t="s">
        <v>877</v>
      </c>
      <c r="C4" t="s">
        <v>875</v>
      </c>
      <c r="E4" s="4"/>
      <c r="F4" s="2"/>
    </row>
    <row r="5" spans="1:6" x14ac:dyDescent="0.35">
      <c r="A5" t="s">
        <v>86</v>
      </c>
      <c r="B5" t="s">
        <v>878</v>
      </c>
      <c r="C5" t="s">
        <v>875</v>
      </c>
      <c r="E5" s="4"/>
      <c r="F5" s="2"/>
    </row>
    <row r="6" spans="1:6" x14ac:dyDescent="0.35">
      <c r="A6" t="s">
        <v>34</v>
      </c>
      <c r="B6" t="s">
        <v>879</v>
      </c>
      <c r="C6" t="s">
        <v>875</v>
      </c>
      <c r="E6" s="4"/>
      <c r="F6" s="2"/>
    </row>
    <row r="7" spans="1:6" x14ac:dyDescent="0.35">
      <c r="A7" t="s">
        <v>15</v>
      </c>
      <c r="B7" t="s">
        <v>880</v>
      </c>
      <c r="C7" t="s">
        <v>875</v>
      </c>
      <c r="E7" s="4"/>
      <c r="F7" s="2"/>
    </row>
    <row r="8" spans="1:6" x14ac:dyDescent="0.35">
      <c r="A8" t="s">
        <v>57</v>
      </c>
      <c r="B8" t="s">
        <v>881</v>
      </c>
      <c r="C8" t="s">
        <v>875</v>
      </c>
      <c r="E8" s="4"/>
      <c r="F8" s="2"/>
    </row>
    <row r="9" spans="1:6" x14ac:dyDescent="0.35">
      <c r="A9" t="s">
        <v>108</v>
      </c>
      <c r="B9" t="s">
        <v>882</v>
      </c>
      <c r="C9" t="s">
        <v>875</v>
      </c>
      <c r="E9" s="4"/>
      <c r="F9" s="2"/>
    </row>
    <row r="10" spans="1:6" x14ac:dyDescent="0.35">
      <c r="E10" s="4"/>
      <c r="F10" s="2"/>
    </row>
    <row r="11" spans="1:6" x14ac:dyDescent="0.35">
      <c r="E11" s="4"/>
      <c r="F11" s="2"/>
    </row>
    <row r="12" spans="1:6" x14ac:dyDescent="0.35">
      <c r="E12" s="4"/>
      <c r="F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Transactions</vt:lpstr>
      <vt:lpstr>Cleaned_Transactions</vt:lpstr>
      <vt:lpstr>Pivot_Summary</vt:lpstr>
      <vt:lpstr>Branches</vt:lpstr>
      <vt:lpstr>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</cp:lastModifiedBy>
  <dcterms:created xsi:type="dcterms:W3CDTF">2026-08-28T11:34:32Z</dcterms:created>
  <dcterms:modified xsi:type="dcterms:W3CDTF">2026-09-23T18:17:05Z</dcterms:modified>
</cp:coreProperties>
</file>